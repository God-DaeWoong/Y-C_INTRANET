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martWork\workspace\yncSchedule\src\main\resources\template\"/>
    </mc:Choice>
  </mc:AlternateContent>
  <xr:revisionPtr revIDLastSave="0" documentId="8_{C9B01107-0A9F-4C5A-9AC5-06774103792A}" xr6:coauthVersionLast="47" xr6:coauthVersionMax="47" xr10:uidLastSave="{00000000-0000-0000-0000-000000000000}"/>
  <bookViews>
    <workbookView xWindow="28680" yWindow="-90" windowWidth="29040" windowHeight="15840" tabRatio="787" xr2:uid="{00000000-000D-0000-FFFF-FFFF00000000}"/>
  </bookViews>
  <sheets>
    <sheet name="지출내역(홍길동)" sheetId="92" r:id="rId1"/>
    <sheet name="지출보고서(홍길동)" sheetId="41" r:id="rId2"/>
    <sheet name="PJT_Code" sheetId="9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92" l="1"/>
  <c r="S8" i="41" l="1"/>
  <c r="S6" i="41" l="1"/>
  <c r="AD115" i="92" l="1"/>
  <c r="AA115" i="92"/>
  <c r="AC115" i="92" s="1"/>
  <c r="AD114" i="92"/>
  <c r="AA114" i="92"/>
  <c r="AC114" i="92" s="1"/>
  <c r="AD113" i="92"/>
  <c r="AA113" i="92"/>
  <c r="AB113" i="92" s="1"/>
  <c r="AD112" i="92"/>
  <c r="AA112" i="92"/>
  <c r="AD111" i="92"/>
  <c r="AA111" i="92"/>
  <c r="AC111" i="92" s="1"/>
  <c r="AD110" i="92"/>
  <c r="AA110" i="92"/>
  <c r="AC110" i="92" s="1"/>
  <c r="AD109" i="92"/>
  <c r="AA109" i="92"/>
  <c r="AB109" i="92" s="1"/>
  <c r="AD108" i="92"/>
  <c r="AA108" i="92"/>
  <c r="AD107" i="92"/>
  <c r="AC107" i="92"/>
  <c r="AA107" i="92"/>
  <c r="AB107" i="92" s="1"/>
  <c r="AD106" i="92"/>
  <c r="AA106" i="92"/>
  <c r="AC106" i="92" s="1"/>
  <c r="AD105" i="92"/>
  <c r="AA105" i="92"/>
  <c r="AB105" i="92" s="1"/>
  <c r="AD104" i="92"/>
  <c r="AA104" i="92"/>
  <c r="AC104" i="92" s="1"/>
  <c r="AD103" i="92"/>
  <c r="AA103" i="92"/>
  <c r="AC103" i="92" s="1"/>
  <c r="AD102" i="92"/>
  <c r="AA102" i="92"/>
  <c r="AC102" i="92" s="1"/>
  <c r="AD101" i="92"/>
  <c r="AA101" i="92"/>
  <c r="AB101" i="92" s="1"/>
  <c r="AD100" i="92"/>
  <c r="AA100" i="92"/>
  <c r="AC100" i="92" s="1"/>
  <c r="AD99" i="92"/>
  <c r="AC99" i="92"/>
  <c r="AA99" i="92"/>
  <c r="AB99" i="92" s="1"/>
  <c r="AD98" i="92"/>
  <c r="AA98" i="92"/>
  <c r="AC98" i="92" s="1"/>
  <c r="AD97" i="92"/>
  <c r="AA97" i="92"/>
  <c r="AB97" i="92" s="1"/>
  <c r="AD96" i="92"/>
  <c r="AA96" i="92"/>
  <c r="AC96" i="92" s="1"/>
  <c r="AD95" i="92"/>
  <c r="AA95" i="92"/>
  <c r="AC95" i="92" s="1"/>
  <c r="AD94" i="92"/>
  <c r="AA94" i="92"/>
  <c r="AD93" i="92"/>
  <c r="AA93" i="92"/>
  <c r="AB93" i="92" s="1"/>
  <c r="AD92" i="92"/>
  <c r="AA92" i="92"/>
  <c r="AC92" i="92" s="1"/>
  <c r="AD91" i="92"/>
  <c r="AA91" i="92"/>
  <c r="AB91" i="92" s="1"/>
  <c r="AD90" i="92"/>
  <c r="AA90" i="92"/>
  <c r="AD89" i="92"/>
  <c r="AA89" i="92"/>
  <c r="AB89" i="92" s="1"/>
  <c r="AD88" i="92"/>
  <c r="AA88" i="92"/>
  <c r="AC88" i="92" s="1"/>
  <c r="AD87" i="92"/>
  <c r="AA87" i="92"/>
  <c r="AB87" i="92" s="1"/>
  <c r="AD86" i="92"/>
  <c r="AA86" i="92"/>
  <c r="AD85" i="92"/>
  <c r="AA85" i="92"/>
  <c r="AB85" i="92" s="1"/>
  <c r="AD84" i="92"/>
  <c r="AA84" i="92"/>
  <c r="AC84" i="92" s="1"/>
  <c r="AD83" i="92"/>
  <c r="AA83" i="92"/>
  <c r="AB83" i="92" s="1"/>
  <c r="AD82" i="92"/>
  <c r="AA82" i="92"/>
  <c r="AD81" i="92"/>
  <c r="AA81" i="92"/>
  <c r="AB81" i="92" s="1"/>
  <c r="AD80" i="92"/>
  <c r="AA80" i="92"/>
  <c r="AC80" i="92" s="1"/>
  <c r="AD79" i="92"/>
  <c r="AA79" i="92"/>
  <c r="AB79" i="92" s="1"/>
  <c r="AD78" i="92"/>
  <c r="AA78" i="92"/>
  <c r="AD77" i="92"/>
  <c r="AA77" i="92"/>
  <c r="AB77" i="92" s="1"/>
  <c r="AD76" i="92"/>
  <c r="AA76" i="92"/>
  <c r="AC76" i="92" s="1"/>
  <c r="AD75" i="92"/>
  <c r="AA75" i="92"/>
  <c r="AB75" i="92" s="1"/>
  <c r="AD74" i="92"/>
  <c r="AA74" i="92"/>
  <c r="AD73" i="92"/>
  <c r="AA73" i="92"/>
  <c r="AB73" i="92" s="1"/>
  <c r="AD72" i="92"/>
  <c r="AA72" i="92"/>
  <c r="AC72" i="92" s="1"/>
  <c r="AD71" i="92"/>
  <c r="AA71" i="92"/>
  <c r="AB71" i="92" s="1"/>
  <c r="AD70" i="92"/>
  <c r="AA70" i="92"/>
  <c r="AC70" i="92" s="1"/>
  <c r="AD69" i="92"/>
  <c r="AA69" i="92"/>
  <c r="AD68" i="92"/>
  <c r="AA68" i="92"/>
  <c r="AC68" i="92" s="1"/>
  <c r="AD67" i="92"/>
  <c r="AA67" i="92"/>
  <c r="AB67" i="92" s="1"/>
  <c r="AD66" i="92"/>
  <c r="AA66" i="92"/>
  <c r="AD65" i="92"/>
  <c r="AA65" i="92"/>
  <c r="AB65" i="92" s="1"/>
  <c r="AD64" i="92"/>
  <c r="AA64" i="92"/>
  <c r="AC64" i="92" s="1"/>
  <c r="AD63" i="92"/>
  <c r="AA63" i="92"/>
  <c r="AB63" i="92" s="1"/>
  <c r="AD62" i="92"/>
  <c r="AA62" i="92"/>
  <c r="AC62" i="92" s="1"/>
  <c r="AD61" i="92"/>
  <c r="AA61" i="92"/>
  <c r="AD60" i="92"/>
  <c r="AA60" i="92"/>
  <c r="AC60" i="92" s="1"/>
  <c r="AD59" i="92"/>
  <c r="AA59" i="92"/>
  <c r="AB59" i="92" s="1"/>
  <c r="AD58" i="92"/>
  <c r="AA58" i="92"/>
  <c r="AC58" i="92" s="1"/>
  <c r="AD57" i="92"/>
  <c r="AA57" i="92"/>
  <c r="AB57" i="92" s="1"/>
  <c r="AD56" i="92"/>
  <c r="AA56" i="92"/>
  <c r="AC56" i="92" s="1"/>
  <c r="AD55" i="92"/>
  <c r="AA55" i="92"/>
  <c r="AB55" i="92" s="1"/>
  <c r="AD54" i="92"/>
  <c r="AA54" i="92"/>
  <c r="AB54" i="92" s="1"/>
  <c r="AD53" i="92"/>
  <c r="AA53" i="92"/>
  <c r="AD52" i="92"/>
  <c r="AA52" i="92"/>
  <c r="AC52" i="92" s="1"/>
  <c r="AD51" i="92"/>
  <c r="AA51" i="92"/>
  <c r="AB51" i="92" s="1"/>
  <c r="AD50" i="92"/>
  <c r="AA50" i="92"/>
  <c r="AB50" i="92" s="1"/>
  <c r="AD49" i="92"/>
  <c r="AA49" i="92"/>
  <c r="AB49" i="92" s="1"/>
  <c r="AD48" i="92"/>
  <c r="AA48" i="92"/>
  <c r="AC48" i="92" s="1"/>
  <c r="AD47" i="92"/>
  <c r="AA47" i="92"/>
  <c r="AB47" i="92" s="1"/>
  <c r="AD46" i="92"/>
  <c r="AA46" i="92"/>
  <c r="AD45" i="92"/>
  <c r="AA45" i="92"/>
  <c r="AD44" i="92"/>
  <c r="AA44" i="92"/>
  <c r="AC44" i="92" s="1"/>
  <c r="AD43" i="92"/>
  <c r="AA43" i="92"/>
  <c r="AB43" i="92" s="1"/>
  <c r="AD42" i="92"/>
  <c r="AA42" i="92"/>
  <c r="AD41" i="92"/>
  <c r="AA41" i="92"/>
  <c r="AD40" i="92"/>
  <c r="AA40" i="92"/>
  <c r="AC40" i="92" s="1"/>
  <c r="AD39" i="92"/>
  <c r="AA39" i="92"/>
  <c r="AB39" i="92" s="1"/>
  <c r="AD38" i="92"/>
  <c r="AA38" i="92"/>
  <c r="AC38" i="92" s="1"/>
  <c r="AD37" i="92"/>
  <c r="AC37" i="92"/>
  <c r="AA37" i="92"/>
  <c r="AB37" i="92" s="1"/>
  <c r="AD36" i="92"/>
  <c r="AA36" i="92"/>
  <c r="AD35" i="92"/>
  <c r="AA35" i="92"/>
  <c r="AB35" i="92" s="1"/>
  <c r="AD34" i="92"/>
  <c r="AA34" i="92"/>
  <c r="AC34" i="92" s="1"/>
  <c r="AD33" i="92"/>
  <c r="AA33" i="92"/>
  <c r="AD32" i="92"/>
  <c r="AA32" i="92"/>
  <c r="AD31" i="92"/>
  <c r="AA31" i="92"/>
  <c r="AB31" i="92" s="1"/>
  <c r="AD30" i="92"/>
  <c r="AA30" i="92"/>
  <c r="AC30" i="92" s="1"/>
  <c r="AD29" i="92"/>
  <c r="AA29" i="92"/>
  <c r="AD28" i="92"/>
  <c r="AA28" i="92"/>
  <c r="AD27" i="92"/>
  <c r="AA27" i="92"/>
  <c r="AB27" i="92" s="1"/>
  <c r="AD26" i="92"/>
  <c r="AA26" i="92"/>
  <c r="AC26" i="92" s="1"/>
  <c r="AD25" i="92"/>
  <c r="AA25" i="92"/>
  <c r="AD24" i="92"/>
  <c r="AA24" i="92"/>
  <c r="AB24" i="92" s="1"/>
  <c r="AD23" i="92"/>
  <c r="AA23" i="92"/>
  <c r="AB23" i="92" s="1"/>
  <c r="AD22" i="92"/>
  <c r="AA22" i="92"/>
  <c r="AC22" i="92" s="1"/>
  <c r="AD21" i="92"/>
  <c r="AA21" i="92"/>
  <c r="AB21" i="92" s="1"/>
  <c r="AD20" i="92"/>
  <c r="AA20" i="92"/>
  <c r="AB20" i="92" s="1"/>
  <c r="AD19" i="92"/>
  <c r="AA19" i="92"/>
  <c r="AB19" i="92" s="1"/>
  <c r="AD18" i="92"/>
  <c r="AA18" i="92"/>
  <c r="AC18" i="92" s="1"/>
  <c r="AD17" i="92"/>
  <c r="AA17" i="92"/>
  <c r="AD16" i="92"/>
  <c r="AA16" i="92"/>
  <c r="AB16" i="92" s="1"/>
  <c r="AD15" i="92"/>
  <c r="AA15" i="92"/>
  <c r="AB15" i="92" s="1"/>
  <c r="AD14" i="92"/>
  <c r="AA14" i="92"/>
  <c r="AC14" i="92" s="1"/>
  <c r="AC113" i="92" l="1"/>
  <c r="AC39" i="92"/>
  <c r="AE39" i="92" s="1"/>
  <c r="AF39" i="92" s="1"/>
  <c r="AC31" i="92"/>
  <c r="AB111" i="92"/>
  <c r="AC71" i="92"/>
  <c r="AE71" i="92" s="1"/>
  <c r="AF71" i="92" s="1"/>
  <c r="AE107" i="92"/>
  <c r="AF107" i="92" s="1"/>
  <c r="AC79" i="92"/>
  <c r="AE79" i="92" s="1"/>
  <c r="AF79" i="92" s="1"/>
  <c r="AC101" i="92"/>
  <c r="AE101" i="92" s="1"/>
  <c r="AF101" i="92" s="1"/>
  <c r="AB95" i="92"/>
  <c r="AE95" i="92" s="1"/>
  <c r="AF95" i="92" s="1"/>
  <c r="AC105" i="92"/>
  <c r="AC47" i="92"/>
  <c r="AE47" i="92" s="1"/>
  <c r="AF47" i="92" s="1"/>
  <c r="AC109" i="92"/>
  <c r="AE31" i="92"/>
  <c r="AF31" i="92" s="1"/>
  <c r="AC43" i="92"/>
  <c r="AE43" i="92" s="1"/>
  <c r="AF43" i="92" s="1"/>
  <c r="AC59" i="92"/>
  <c r="AE59" i="92" s="1"/>
  <c r="AF59" i="92" s="1"/>
  <c r="AC75" i="92"/>
  <c r="AE75" i="92" s="1"/>
  <c r="AF75" i="92" s="1"/>
  <c r="AE99" i="92"/>
  <c r="AF99" i="92" s="1"/>
  <c r="AC83" i="92"/>
  <c r="AC19" i="92"/>
  <c r="AE19" i="92" s="1"/>
  <c r="AC35" i="92"/>
  <c r="AE35" i="92" s="1"/>
  <c r="AF35" i="92" s="1"/>
  <c r="AC51" i="92"/>
  <c r="AE51" i="92" s="1"/>
  <c r="AF51" i="92" s="1"/>
  <c r="AC87" i="92"/>
  <c r="AE91" i="92"/>
  <c r="AF91" i="92" s="1"/>
  <c r="AC97" i="92"/>
  <c r="AE97" i="92" s="1"/>
  <c r="AF97" i="92" s="1"/>
  <c r="AB103" i="92"/>
  <c r="AE103" i="92" s="1"/>
  <c r="AF103" i="92" s="1"/>
  <c r="AE83" i="92"/>
  <c r="AF83" i="92" s="1"/>
  <c r="AE111" i="92"/>
  <c r="AF111" i="92" s="1"/>
  <c r="AC67" i="92"/>
  <c r="AE67" i="92" s="1"/>
  <c r="AF67" i="92" s="1"/>
  <c r="AC91" i="92"/>
  <c r="AB115" i="92"/>
  <c r="AE115" i="92" s="1"/>
  <c r="AF115" i="92" s="1"/>
  <c r="AE63" i="92"/>
  <c r="AF63" i="92" s="1"/>
  <c r="AB30" i="92"/>
  <c r="AE30" i="92" s="1"/>
  <c r="AF30" i="92" s="1"/>
  <c r="AC55" i="92"/>
  <c r="AE55" i="92" s="1"/>
  <c r="AF55" i="92" s="1"/>
  <c r="AC63" i="92"/>
  <c r="AC20" i="92"/>
  <c r="AC27" i="92"/>
  <c r="AE27" i="92" s="1"/>
  <c r="AF27" i="92"/>
  <c r="AE34" i="92"/>
  <c r="AF34" i="92" s="1"/>
  <c r="AF19" i="92"/>
  <c r="AC41" i="92"/>
  <c r="AC45" i="92"/>
  <c r="AC53" i="92"/>
  <c r="AC86" i="92"/>
  <c r="AB86" i="92"/>
  <c r="AB17" i="92"/>
  <c r="AB25" i="92"/>
  <c r="AC32" i="92"/>
  <c r="AB32" i="92"/>
  <c r="AB41" i="92"/>
  <c r="AB45" i="92"/>
  <c r="AB53" i="92"/>
  <c r="AC69" i="92"/>
  <c r="AB14" i="92"/>
  <c r="AE14" i="92" s="1"/>
  <c r="AF14" i="92" s="1"/>
  <c r="AC17" i="92"/>
  <c r="AE17" i="92" s="1"/>
  <c r="AF17" i="92" s="1"/>
  <c r="AE20" i="92"/>
  <c r="AF20" i="92" s="1"/>
  <c r="AB22" i="92"/>
  <c r="AE22" i="92" s="1"/>
  <c r="AF22" i="92" s="1"/>
  <c r="AC25" i="92"/>
  <c r="AB34" i="92"/>
  <c r="AB58" i="92"/>
  <c r="AE58" i="92" s="1"/>
  <c r="AF58" i="92" s="1"/>
  <c r="AB69" i="92"/>
  <c r="AE69" i="92" s="1"/>
  <c r="AF69" i="92" s="1"/>
  <c r="AC74" i="92"/>
  <c r="AB74" i="92"/>
  <c r="AE74" i="92" s="1"/>
  <c r="AF74" i="92" s="1"/>
  <c r="AE87" i="92"/>
  <c r="AF87" i="92" s="1"/>
  <c r="AC90" i="92"/>
  <c r="AB90" i="92"/>
  <c r="AC36" i="92"/>
  <c r="AB36" i="92"/>
  <c r="AC65" i="92"/>
  <c r="AE65" i="92" s="1"/>
  <c r="AF65" i="92" s="1"/>
  <c r="AC94" i="92"/>
  <c r="AB94" i="92"/>
  <c r="AC42" i="92"/>
  <c r="AC46" i="92"/>
  <c r="AC50" i="92"/>
  <c r="AE50" i="92" s="1"/>
  <c r="AF50" i="92" s="1"/>
  <c r="AC54" i="92"/>
  <c r="AE54" i="92" s="1"/>
  <c r="AF54" i="92" s="1"/>
  <c r="AC61" i="92"/>
  <c r="AC78" i="92"/>
  <c r="AB78" i="92"/>
  <c r="AB18" i="92"/>
  <c r="AE18" i="92" s="1"/>
  <c r="AF18" i="92" s="1"/>
  <c r="AC21" i="92"/>
  <c r="AE21" i="92" s="1"/>
  <c r="AF21" i="92" s="1"/>
  <c r="AC82" i="92"/>
  <c r="AB82" i="92"/>
  <c r="AE82" i="92" s="1"/>
  <c r="AF82" i="92" s="1"/>
  <c r="AC16" i="92"/>
  <c r="AE16" i="92" s="1"/>
  <c r="AF16" i="92" s="1"/>
  <c r="AC24" i="92"/>
  <c r="AE24" i="92" s="1"/>
  <c r="AF24" i="92" s="1"/>
  <c r="AB29" i="92"/>
  <c r="AE29" i="92" s="1"/>
  <c r="AF29" i="92" s="1"/>
  <c r="AB38" i="92"/>
  <c r="AE38" i="92" s="1"/>
  <c r="AF38" i="92" s="1"/>
  <c r="AB42" i="92"/>
  <c r="AB46" i="92"/>
  <c r="AE46" i="92" s="1"/>
  <c r="AF46" i="92" s="1"/>
  <c r="AB70" i="92"/>
  <c r="AE70" i="92" s="1"/>
  <c r="AF70" i="92" s="1"/>
  <c r="AC29" i="92"/>
  <c r="AB26" i="92"/>
  <c r="AE26" i="92" s="1"/>
  <c r="AF26" i="92" s="1"/>
  <c r="AB33" i="92"/>
  <c r="AE33" i="92" s="1"/>
  <c r="AF33" i="92" s="1"/>
  <c r="AB61" i="92"/>
  <c r="AB66" i="92"/>
  <c r="AC15" i="92"/>
  <c r="AE15" i="92" s="1"/>
  <c r="AF15" i="92" s="1"/>
  <c r="AC23" i="92"/>
  <c r="AE23" i="92" s="1"/>
  <c r="AF23" i="92" s="1"/>
  <c r="AC28" i="92"/>
  <c r="AB28" i="92"/>
  <c r="AC33" i="92"/>
  <c r="AE37" i="92"/>
  <c r="AF37" i="92" s="1"/>
  <c r="AC57" i="92"/>
  <c r="AE57" i="92" s="1"/>
  <c r="AF57" i="92" s="1"/>
  <c r="AC66" i="92"/>
  <c r="AC49" i="92"/>
  <c r="AE49" i="92" s="1"/>
  <c r="AF49" i="92" s="1"/>
  <c r="AB62" i="92"/>
  <c r="AE62" i="92" s="1"/>
  <c r="AF62" i="92" s="1"/>
  <c r="AC73" i="92"/>
  <c r="AE73" i="92" s="1"/>
  <c r="AF73" i="92" s="1"/>
  <c r="AC77" i="92"/>
  <c r="AE77" i="92" s="1"/>
  <c r="AF77" i="92" s="1"/>
  <c r="AC81" i="92"/>
  <c r="AE81" i="92" s="1"/>
  <c r="AF81" i="92" s="1"/>
  <c r="AC85" i="92"/>
  <c r="AE85" i="92" s="1"/>
  <c r="AF85" i="92" s="1"/>
  <c r="AC89" i="92"/>
  <c r="AE89" i="92" s="1"/>
  <c r="AF89" i="92" s="1"/>
  <c r="AC93" i="92"/>
  <c r="AE93" i="92" s="1"/>
  <c r="AF93" i="92" s="1"/>
  <c r="AB40" i="92"/>
  <c r="AE40" i="92" s="1"/>
  <c r="AF40" i="92" s="1"/>
  <c r="AB44" i="92"/>
  <c r="AE44" i="92" s="1"/>
  <c r="AF44" i="92" s="1"/>
  <c r="AB48" i="92"/>
  <c r="AE48" i="92" s="1"/>
  <c r="AF48" i="92" s="1"/>
  <c r="AB52" i="92"/>
  <c r="AE52" i="92" s="1"/>
  <c r="AF52" i="92" s="1"/>
  <c r="AB56" i="92"/>
  <c r="AE56" i="92" s="1"/>
  <c r="AF56" i="92" s="1"/>
  <c r="AB60" i="92"/>
  <c r="AE60" i="92" s="1"/>
  <c r="AF60" i="92" s="1"/>
  <c r="AB64" i="92"/>
  <c r="AE64" i="92" s="1"/>
  <c r="AF64" i="92" s="1"/>
  <c r="AB68" i="92"/>
  <c r="AE68" i="92" s="1"/>
  <c r="AF68" i="92" s="1"/>
  <c r="AB72" i="92"/>
  <c r="AE72" i="92" s="1"/>
  <c r="AF72" i="92" s="1"/>
  <c r="AB76" i="92"/>
  <c r="AE76" i="92" s="1"/>
  <c r="AF76" i="92" s="1"/>
  <c r="AB80" i="92"/>
  <c r="AE80" i="92" s="1"/>
  <c r="AF80" i="92" s="1"/>
  <c r="AB84" i="92"/>
  <c r="AE84" i="92" s="1"/>
  <c r="AF84" i="92" s="1"/>
  <c r="AB88" i="92"/>
  <c r="AE88" i="92" s="1"/>
  <c r="AF88" i="92" s="1"/>
  <c r="AB92" i="92"/>
  <c r="AE92" i="92" s="1"/>
  <c r="AF92" i="92" s="1"/>
  <c r="AB96" i="92"/>
  <c r="AE96" i="92" s="1"/>
  <c r="AF96" i="92" s="1"/>
  <c r="AB100" i="92"/>
  <c r="AE100" i="92" s="1"/>
  <c r="AF100" i="92" s="1"/>
  <c r="AB104" i="92"/>
  <c r="AE104" i="92" s="1"/>
  <c r="AF104" i="92" s="1"/>
  <c r="AB108" i="92"/>
  <c r="AB112" i="92"/>
  <c r="AE105" i="92"/>
  <c r="AF105" i="92" s="1"/>
  <c r="AC108" i="92"/>
  <c r="AE109" i="92"/>
  <c r="AF109" i="92" s="1"/>
  <c r="AC112" i="92"/>
  <c r="AE113" i="92"/>
  <c r="AF113" i="92" s="1"/>
  <c r="AB98" i="92"/>
  <c r="AE98" i="92" s="1"/>
  <c r="AF98" i="92" s="1"/>
  <c r="AB102" i="92"/>
  <c r="AE102" i="92" s="1"/>
  <c r="AF102" i="92" s="1"/>
  <c r="AB106" i="92"/>
  <c r="AE106" i="92" s="1"/>
  <c r="AF106" i="92" s="1"/>
  <c r="AB110" i="92"/>
  <c r="AE110" i="92" s="1"/>
  <c r="AF110" i="92" s="1"/>
  <c r="AB114" i="92"/>
  <c r="AE114" i="92" s="1"/>
  <c r="AF114" i="92" s="1"/>
  <c r="D6" i="41"/>
  <c r="AE45" i="92" l="1"/>
  <c r="AF45" i="92" s="1"/>
  <c r="AE108" i="92"/>
  <c r="AF108" i="92" s="1"/>
  <c r="AE42" i="92"/>
  <c r="AF42" i="92" s="1"/>
  <c r="AE36" i="92"/>
  <c r="AF36" i="92" s="1"/>
  <c r="AE41" i="92"/>
  <c r="AF41" i="92" s="1"/>
  <c r="AE66" i="92"/>
  <c r="AF66" i="92" s="1"/>
  <c r="AE61" i="92"/>
  <c r="AF61" i="92" s="1"/>
  <c r="AE32" i="92"/>
  <c r="AF32" i="92" s="1"/>
  <c r="AE25" i="92"/>
  <c r="AF25" i="92" s="1"/>
  <c r="AE112" i="92"/>
  <c r="AF112" i="92" s="1"/>
  <c r="AE78" i="92"/>
  <c r="AF78" i="92" s="1"/>
  <c r="AE94" i="92"/>
  <c r="AF94" i="92" s="1"/>
  <c r="AE90" i="92"/>
  <c r="AF90" i="92" s="1"/>
  <c r="AE53" i="92"/>
  <c r="AF53" i="92" s="1"/>
  <c r="AE86" i="92"/>
  <c r="AF86" i="92" s="1"/>
  <c r="AE28" i="92"/>
  <c r="AF28" i="92" s="1"/>
  <c r="B14" i="92"/>
  <c r="I14" i="92"/>
  <c r="B15" i="92"/>
  <c r="I15" i="92"/>
  <c r="B16" i="92"/>
  <c r="I16" i="92"/>
  <c r="B17" i="92"/>
  <c r="I17" i="92"/>
  <c r="B18" i="92"/>
  <c r="I18" i="92"/>
  <c r="B19" i="92"/>
  <c r="I19" i="92"/>
  <c r="B20" i="92"/>
  <c r="I20" i="92"/>
  <c r="B21" i="92"/>
  <c r="I21" i="92"/>
  <c r="B22" i="92"/>
  <c r="I22" i="92"/>
  <c r="B23" i="92"/>
  <c r="I23" i="92"/>
  <c r="C10" i="92" l="1"/>
  <c r="I112" i="92"/>
  <c r="B112" i="92"/>
  <c r="I111" i="92"/>
  <c r="B111" i="92"/>
  <c r="I110" i="92"/>
  <c r="B110" i="92"/>
  <c r="I109" i="92"/>
  <c r="B109" i="92"/>
  <c r="I108" i="92"/>
  <c r="B108" i="92"/>
  <c r="I107" i="92"/>
  <c r="B107" i="92"/>
  <c r="I106" i="92"/>
  <c r="B106" i="92"/>
  <c r="I105" i="92"/>
  <c r="B105" i="92"/>
  <c r="I104" i="92"/>
  <c r="B104" i="92"/>
  <c r="I103" i="92"/>
  <c r="B103" i="92"/>
  <c r="I102" i="92"/>
  <c r="B102" i="92"/>
  <c r="I101" i="92"/>
  <c r="B101" i="92"/>
  <c r="I100" i="92"/>
  <c r="B100" i="92"/>
  <c r="I99" i="92"/>
  <c r="B99" i="92"/>
  <c r="I98" i="92"/>
  <c r="B98" i="92"/>
  <c r="I97" i="92"/>
  <c r="B97" i="92"/>
  <c r="I96" i="92"/>
  <c r="B96" i="92"/>
  <c r="I95" i="92"/>
  <c r="B95" i="92"/>
  <c r="I94" i="92"/>
  <c r="B94" i="92"/>
  <c r="I93" i="92"/>
  <c r="B93" i="92"/>
  <c r="I92" i="92"/>
  <c r="B92" i="92"/>
  <c r="I91" i="92"/>
  <c r="B91" i="92"/>
  <c r="I90" i="92"/>
  <c r="B90" i="92"/>
  <c r="I89" i="92"/>
  <c r="B89" i="92"/>
  <c r="I88" i="92"/>
  <c r="B88" i="92"/>
  <c r="I87" i="92"/>
  <c r="B87" i="92"/>
  <c r="I86" i="92"/>
  <c r="B86" i="92"/>
  <c r="I85" i="92"/>
  <c r="B85" i="92"/>
  <c r="I84" i="92"/>
  <c r="B84" i="92"/>
  <c r="I83" i="92"/>
  <c r="B83" i="92"/>
  <c r="I82" i="92"/>
  <c r="B82" i="92"/>
  <c r="I81" i="92"/>
  <c r="B81" i="92"/>
  <c r="I80" i="92"/>
  <c r="B80" i="92"/>
  <c r="I79" i="92"/>
  <c r="B79" i="92"/>
  <c r="I78" i="92"/>
  <c r="B78" i="92"/>
  <c r="I77" i="92"/>
  <c r="B77" i="92"/>
  <c r="I76" i="92"/>
  <c r="B76" i="92"/>
  <c r="I75" i="92"/>
  <c r="B75" i="92"/>
  <c r="I74" i="92"/>
  <c r="B74" i="92"/>
  <c r="I73" i="92"/>
  <c r="B73" i="92"/>
  <c r="I72" i="92"/>
  <c r="B72" i="92"/>
  <c r="I71" i="92"/>
  <c r="B71" i="92"/>
  <c r="I70" i="92"/>
  <c r="B70" i="92"/>
  <c r="I69" i="92"/>
  <c r="B69" i="92"/>
  <c r="I68" i="92"/>
  <c r="B68" i="92"/>
  <c r="I67" i="92"/>
  <c r="B67" i="92"/>
  <c r="I66" i="92"/>
  <c r="B66" i="92"/>
  <c r="I65" i="92"/>
  <c r="B65" i="92"/>
  <c r="I64" i="92"/>
  <c r="B64" i="92"/>
  <c r="I63" i="92"/>
  <c r="B63" i="92"/>
  <c r="I62" i="92"/>
  <c r="B62" i="92"/>
  <c r="I61" i="92"/>
  <c r="B61" i="92"/>
  <c r="I60" i="92"/>
  <c r="B60" i="92"/>
  <c r="I59" i="92"/>
  <c r="B59" i="92"/>
  <c r="I58" i="92"/>
  <c r="B58" i="92"/>
  <c r="I57" i="92"/>
  <c r="B57" i="92"/>
  <c r="I56" i="92"/>
  <c r="B56" i="92"/>
  <c r="I55" i="92"/>
  <c r="B55" i="92"/>
  <c r="I54" i="92"/>
  <c r="B54" i="92"/>
  <c r="I53" i="92"/>
  <c r="B53" i="92"/>
  <c r="I52" i="92"/>
  <c r="B52" i="92"/>
  <c r="I51" i="92"/>
  <c r="B51" i="92"/>
  <c r="I50" i="92"/>
  <c r="B50" i="92"/>
  <c r="I49" i="92"/>
  <c r="B49" i="92"/>
  <c r="I48" i="92"/>
  <c r="B48" i="92"/>
  <c r="I47" i="92"/>
  <c r="B47" i="92"/>
  <c r="I46" i="92"/>
  <c r="B46" i="92"/>
  <c r="I45" i="92"/>
  <c r="B45" i="92"/>
  <c r="I44" i="92"/>
  <c r="B44" i="92"/>
  <c r="I43" i="92"/>
  <c r="B43" i="92"/>
  <c r="I42" i="92"/>
  <c r="B42" i="92"/>
  <c r="I41" i="92"/>
  <c r="B41" i="92"/>
  <c r="I40" i="92"/>
  <c r="B40" i="92"/>
  <c r="I39" i="92"/>
  <c r="B39" i="92"/>
  <c r="I38" i="92"/>
  <c r="B38" i="92"/>
  <c r="I37" i="92"/>
  <c r="B37" i="92"/>
  <c r="I36" i="92"/>
  <c r="B36" i="92"/>
  <c r="I35" i="92"/>
  <c r="B35" i="92"/>
  <c r="I34" i="92"/>
  <c r="B34" i="92"/>
  <c r="I33" i="92"/>
  <c r="B33" i="92"/>
  <c r="I32" i="92"/>
  <c r="B32" i="92"/>
  <c r="I31" i="92"/>
  <c r="B31" i="92"/>
  <c r="I30" i="92"/>
  <c r="B30" i="92"/>
  <c r="I29" i="92"/>
  <c r="B29" i="92"/>
  <c r="I28" i="92"/>
  <c r="B28" i="92"/>
  <c r="I27" i="92"/>
  <c r="B27" i="92"/>
  <c r="I26" i="92"/>
  <c r="B26" i="92"/>
  <c r="I25" i="92"/>
  <c r="B25" i="92"/>
  <c r="I24" i="92"/>
  <c r="B24" i="92"/>
  <c r="D8" i="41" l="1"/>
  <c r="Q25" i="41" s="1"/>
  <c r="Q39" i="41" l="1"/>
  <c r="B46" i="41"/>
  <c r="B45" i="41"/>
  <c r="V20" i="41"/>
  <c r="Q18" i="41"/>
  <c r="B19" i="41"/>
  <c r="V35" i="41"/>
  <c r="L41" i="41"/>
  <c r="V31" i="41"/>
  <c r="B24" i="41"/>
  <c r="B41" i="41"/>
  <c r="L22" i="41"/>
  <c r="B44" i="41"/>
  <c r="Q49" i="41"/>
  <c r="V44" i="41"/>
  <c r="B23" i="41"/>
  <c r="B40" i="41"/>
  <c r="V29" i="41"/>
  <c r="Q28" i="41"/>
  <c r="B25" i="41"/>
  <c r="Q19" i="41"/>
  <c r="B49" i="41"/>
  <c r="Q40" i="41"/>
  <c r="L27" i="41"/>
  <c r="G27" i="41"/>
  <c r="B36" i="41"/>
  <c r="G40" i="41"/>
  <c r="G16" i="41"/>
  <c r="G19" i="41"/>
  <c r="G15" i="41"/>
  <c r="B27" i="41"/>
  <c r="V26" i="41"/>
  <c r="L35" i="41"/>
  <c r="B47" i="41"/>
  <c r="B39" i="41"/>
  <c r="Q32" i="41"/>
  <c r="B22" i="41"/>
  <c r="G34" i="41"/>
  <c r="L49" i="41"/>
  <c r="L29" i="41"/>
  <c r="G21" i="41"/>
  <c r="D7" i="41"/>
  <c r="B20" i="41"/>
  <c r="B48" i="41"/>
  <c r="L18" i="41"/>
  <c r="V43" i="41"/>
  <c r="V47" i="41"/>
  <c r="L33" i="41"/>
  <c r="G25" i="41"/>
  <c r="B43" i="41"/>
  <c r="L28" i="41"/>
  <c r="Q16" i="41"/>
  <c r="V37" i="41"/>
  <c r="V48" i="41"/>
  <c r="V39" i="41"/>
  <c r="Q17" i="41"/>
  <c r="Q26" i="41"/>
  <c r="G37" i="41"/>
  <c r="G49" i="41"/>
  <c r="G20" i="41"/>
  <c r="L47" i="41"/>
  <c r="B21" i="41"/>
  <c r="B31" i="41"/>
  <c r="Q27" i="41"/>
  <c r="L21" i="41"/>
  <c r="L32" i="41"/>
  <c r="V19" i="41"/>
  <c r="Q22" i="41"/>
  <c r="B16" i="41"/>
  <c r="Q45" i="41"/>
  <c r="G22" i="41"/>
  <c r="G43" i="41"/>
  <c r="V42" i="41"/>
  <c r="L42" i="41"/>
  <c r="Q35" i="41"/>
  <c r="G26" i="41"/>
  <c r="L48" i="41"/>
  <c r="G35" i="41"/>
  <c r="G29" i="41"/>
  <c r="G24" i="41"/>
  <c r="V32" i="41"/>
  <c r="V28" i="41"/>
  <c r="L23" i="41"/>
  <c r="L19" i="41"/>
  <c r="G32" i="41"/>
  <c r="V36" i="41"/>
  <c r="V34" i="41"/>
  <c r="L24" i="41"/>
  <c r="V41" i="41"/>
  <c r="Q46" i="41"/>
  <c r="B37" i="41"/>
  <c r="L37" i="41"/>
  <c r="G31" i="41"/>
  <c r="G38" i="41"/>
  <c r="Q23" i="41"/>
  <c r="Q24" i="41"/>
  <c r="G17" i="41"/>
  <c r="L17" i="41"/>
  <c r="G30" i="41"/>
  <c r="B30" i="41"/>
  <c r="Q29" i="41"/>
  <c r="V24" i="41"/>
  <c r="B15" i="41"/>
  <c r="V18" i="41"/>
  <c r="Q31" i="41"/>
  <c r="V17" i="41"/>
  <c r="L34" i="41"/>
  <c r="Q15" i="41"/>
  <c r="G48" i="41"/>
  <c r="B33" i="41"/>
  <c r="L36" i="41"/>
  <c r="B18" i="41"/>
  <c r="L38" i="41"/>
  <c r="L45" i="41"/>
  <c r="B17" i="41"/>
  <c r="G28" i="41"/>
  <c r="V15" i="41"/>
  <c r="Q41" i="41"/>
  <c r="G23" i="41"/>
  <c r="Q47" i="41"/>
  <c r="G46" i="41"/>
  <c r="V30" i="41"/>
  <c r="V23" i="41"/>
  <c r="B32" i="41"/>
  <c r="G36" i="41"/>
  <c r="L16" i="41"/>
  <c r="L25" i="41"/>
  <c r="Q36" i="41"/>
  <c r="Q48" i="41"/>
  <c r="V38" i="41"/>
  <c r="V27" i="41"/>
  <c r="V16" i="41"/>
  <c r="B34" i="41"/>
  <c r="V22" i="41"/>
  <c r="L43" i="41"/>
  <c r="L46" i="41"/>
  <c r="L20" i="41"/>
  <c r="L40" i="41"/>
  <c r="B35" i="41"/>
  <c r="V21" i="41"/>
  <c r="V40" i="41"/>
  <c r="Q34" i="41"/>
  <c r="V33" i="41"/>
  <c r="L44" i="41"/>
  <c r="B38" i="41"/>
  <c r="B29" i="41"/>
  <c r="Q43" i="41"/>
  <c r="L26" i="41"/>
  <c r="B26" i="41"/>
  <c r="G42" i="41"/>
  <c r="L30" i="41"/>
  <c r="Q37" i="41"/>
  <c r="B42" i="41"/>
  <c r="Q21" i="41"/>
  <c r="B28" i="41"/>
  <c r="V49" i="41"/>
  <c r="V45" i="41"/>
  <c r="G41" i="41"/>
  <c r="G33" i="41"/>
  <c r="V25" i="41"/>
  <c r="Q30" i="41"/>
  <c r="G44" i="41"/>
  <c r="L39" i="41"/>
  <c r="G18" i="41"/>
  <c r="G39" i="41"/>
  <c r="Q20" i="41"/>
  <c r="S7" i="41"/>
  <c r="Q33" i="41"/>
  <c r="L15" i="41"/>
  <c r="V46" i="41"/>
  <c r="G45" i="41"/>
  <c r="L31" i="41"/>
  <c r="Q44" i="41"/>
  <c r="G47" i="41"/>
  <c r="Q42" i="41"/>
  <c r="Q38" i="41"/>
  <c r="T10" i="41" l="1"/>
  <c r="C10" i="41" s="1"/>
  <c r="Q50" i="4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DuhyunBae</author>
    <author>USER</author>
  </authors>
  <commentList>
    <comment ref="C7" authorId="0" shapeId="0" xr:uid="{00000000-0006-0000-0000-000001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[작성요령]
ㅁ 목록에서 택 1
ㅁ 목록에 해당 사업부서가 없을 경우,
    관리팀에 문의 요망</t>
        </r>
      </text>
    </comment>
    <comment ref="C8" authorId="0" shapeId="0" xr:uid="{00000000-0006-0000-0000-000002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[작성요령]</t>
        </r>
        <r>
          <rPr>
            <sz val="9"/>
            <color indexed="81"/>
            <rFont val="맑은 고딕"/>
            <family val="3"/>
            <charset val="129"/>
            <scheme val="major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  <scheme val="major"/>
          </rPr>
          <t xml:space="preserve">ㅁ 영수증 매수
ㅁ 영수증이 총 9매 인 경우 '9'를 기입
ㅁ </t>
        </r>
        <r>
          <rPr>
            <b/>
            <u/>
            <sz val="9"/>
            <color indexed="81"/>
            <rFont val="맑은 고딕"/>
            <family val="3"/>
            <charset val="129"/>
            <scheme val="major"/>
          </rPr>
          <t>추가 증빙자료는 매수 미포함</t>
        </r>
      </text>
    </comment>
    <comment ref="C9" authorId="0" shapeId="0" xr:uid="{00000000-0006-0000-0000-000003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[작성요령]
ㅁ 2024년 1월 31일의 경우
    : 2024.01.31'로 기입</t>
        </r>
        <r>
          <rPr>
            <sz val="9"/>
            <color indexed="81"/>
            <rFont val="맑은 고딕"/>
            <family val="3"/>
            <charset val="129"/>
            <scheme val="major"/>
          </rPr>
          <t xml:space="preserve">
</t>
        </r>
        <r>
          <rPr>
            <b/>
            <sz val="9"/>
            <color indexed="81"/>
            <rFont val="맑은 고딕"/>
            <family val="3"/>
            <charset val="129"/>
            <scheme val="major"/>
          </rPr>
          <t>ㅁ 결의일자는 당월을 넘기지 않음</t>
        </r>
      </text>
    </comment>
    <comment ref="C10" authorId="1" shapeId="0" xr:uid="{00000000-0006-0000-0000-000004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[작성요령]
ㅁ 사용금액 입력 시 자동합산</t>
        </r>
      </text>
    </comment>
    <comment ref="B13" authorId="0" shapeId="0" xr:uid="{00000000-0006-0000-0000-000005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[작성요령]
ㅁ 사용일시 입력 시 자동으로 기입됨
    ※ 일반 정보의 '성명' 기입 필요</t>
        </r>
      </text>
    </comment>
    <comment ref="C13" authorId="0" shapeId="0" xr:uid="{00000000-0006-0000-0000-000006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[작성요령]
ㅁ 2024년 01월 01일의 경우
    : 2024.01.01 으로 기입</t>
        </r>
      </text>
    </comment>
    <comment ref="D13" authorId="0" shapeId="0" xr:uid="{00000000-0006-0000-0000-000007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[작성요령]
ㅁ 자유롭게 기입</t>
        </r>
      </text>
    </comment>
    <comment ref="E13" authorId="0" shapeId="0" xr:uid="{00000000-0006-0000-0000-000008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[작성요령]
ㅁ 목록에서 택 1
ㅁ 적당한 목록이 없을 경우 '기타' 선택</t>
        </r>
      </text>
    </comment>
    <comment ref="F13" authorId="0" shapeId="0" xr:uid="{00000000-0006-0000-0000-000009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[작성요령]
ㅁ 아라비아 숫자로만 기입
ㅁ 원화(KRW)으로 기입하되,
    원화가 아닌 경우 원화로 환산하여 기입</t>
        </r>
      </text>
    </comment>
    <comment ref="G13" authorId="0" shapeId="0" xr:uid="{00000000-0006-0000-0000-00000A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[작성요령]
ㅁ 사용된 업소명을 기입</t>
        </r>
      </text>
    </comment>
    <comment ref="H13" authorId="0" shapeId="0" xr:uid="{00000000-0006-0000-0000-00000B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[작성요령]
ㅁ 목록에서 택 1
ㅁ 적당한 목록이 없을 경우 '기타' 선택</t>
        </r>
      </text>
    </comment>
    <comment ref="I13" authorId="0" shapeId="0" xr:uid="{00000000-0006-0000-0000-00000C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[작성요령]
ㅁ "PJT_Code" 탭 참조하여 기입</t>
        </r>
      </text>
    </comment>
    <comment ref="J13" authorId="1" shapeId="0" xr:uid="{00000000-0006-0000-0000-00000D000000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[작성참고]
ㅁ 자기개발비는 영수증 금액이 본인 잔여한도
    금액을 초과할 경우, 잔여한도금액을 입력
ㅁ 접대비, 회식비, 야특근비 식비 7만원이상 비용 발생 시
    사용용도 및 참석자 기입</t>
        </r>
      </text>
    </comment>
  </commentList>
</comments>
</file>

<file path=xl/sharedStrings.xml><?xml version="1.0" encoding="utf-8"?>
<sst xmlns="http://schemas.openxmlformats.org/spreadsheetml/2006/main" count="62" uniqueCount="60">
  <si>
    <t>지 출 보 고 서</t>
    <phoneticPr fontId="1" type="noConversion"/>
  </si>
  <si>
    <t>발
의
부
서</t>
    <phoneticPr fontId="1" type="noConversion"/>
  </si>
  <si>
    <t>담당</t>
    <phoneticPr fontId="1" type="noConversion"/>
  </si>
  <si>
    <t>결
재</t>
    <phoneticPr fontId="1" type="noConversion"/>
  </si>
  <si>
    <t>소속</t>
    <phoneticPr fontId="1" type="noConversion"/>
  </si>
  <si>
    <t>결의일자</t>
    <phoneticPr fontId="1" type="noConversion"/>
  </si>
  <si>
    <t>작성자</t>
    <phoneticPr fontId="3" type="noConversion"/>
  </si>
  <si>
    <t>성명</t>
    <phoneticPr fontId="3" type="noConversion"/>
  </si>
  <si>
    <t>일금</t>
    <phoneticPr fontId="1" type="noConversion"/>
  </si>
  <si>
    <t>원정</t>
    <phoneticPr fontId="1" type="noConversion"/>
  </si>
  <si>
    <t>(\</t>
    <phoneticPr fontId="1" type="noConversion"/>
  </si>
  <si>
    <t>)</t>
    <phoneticPr fontId="1" type="noConversion"/>
  </si>
  <si>
    <t>□ 사용내역</t>
    <phoneticPr fontId="1" type="noConversion"/>
  </si>
  <si>
    <t>사용일시</t>
    <phoneticPr fontId="1" type="noConversion"/>
  </si>
  <si>
    <t>사용금액</t>
    <phoneticPr fontId="1" type="noConversion"/>
  </si>
  <si>
    <t>비고(업소명)</t>
    <phoneticPr fontId="3" type="noConversion"/>
  </si>
  <si>
    <t>합   계</t>
    <phoneticPr fontId="1" type="noConversion"/>
  </si>
  <si>
    <t>내용</t>
    <phoneticPr fontId="1" type="noConversion"/>
  </si>
  <si>
    <t>계정</t>
    <phoneticPr fontId="1" type="noConversion"/>
  </si>
  <si>
    <t>증빙서류 (영수증)</t>
    <phoneticPr fontId="3" type="noConversion"/>
  </si>
  <si>
    <t>프로젝트 코드</t>
    <phoneticPr fontId="3" type="noConversion"/>
  </si>
  <si>
    <t>[개인별 지출/사용 내역 기입 양식]</t>
    <phoneticPr fontId="7" type="noConversion"/>
  </si>
  <si>
    <t>version 0.0.1</t>
    <phoneticPr fontId="7" type="noConversion"/>
  </si>
  <si>
    <r>
      <rPr>
        <b/>
        <sz val="9"/>
        <color theme="1"/>
        <rFont val="맑은 고딕"/>
        <family val="3"/>
        <charset val="129"/>
      </rPr>
      <t xml:space="preserve">■ </t>
    </r>
    <r>
      <rPr>
        <b/>
        <sz val="9"/>
        <color theme="1"/>
        <rFont val="맑은 고딕"/>
        <family val="3"/>
        <charset val="129"/>
        <scheme val="minor"/>
      </rPr>
      <t>일반 정보</t>
    </r>
    <phoneticPr fontId="7" type="noConversion"/>
  </si>
  <si>
    <t>성명</t>
    <phoneticPr fontId="7" type="noConversion"/>
  </si>
  <si>
    <t>프로젝트코드</t>
    <phoneticPr fontId="7" type="noConversion"/>
  </si>
  <si>
    <t>PJ00000000</t>
    <phoneticPr fontId="7" type="noConversion"/>
  </si>
  <si>
    <t>사업부서</t>
    <phoneticPr fontId="7" type="noConversion"/>
  </si>
  <si>
    <t>증빙서류(영수증)</t>
    <phoneticPr fontId="7" type="noConversion"/>
  </si>
  <si>
    <t>매</t>
    <phoneticPr fontId="7" type="noConversion"/>
  </si>
  <si>
    <t>결의일자</t>
    <phoneticPr fontId="7" type="noConversion"/>
  </si>
  <si>
    <t>합계</t>
    <phoneticPr fontId="7" type="noConversion"/>
  </si>
  <si>
    <t>■ 지출/사용내역</t>
    <phoneticPr fontId="7" type="noConversion"/>
  </si>
  <si>
    <t>사용자</t>
    <phoneticPr fontId="7" type="noConversion"/>
  </si>
  <si>
    <t>사용일시</t>
    <phoneticPr fontId="7" type="noConversion"/>
  </si>
  <si>
    <t>사용 내용</t>
    <phoneticPr fontId="7" type="noConversion"/>
  </si>
  <si>
    <t>계정</t>
    <phoneticPr fontId="7" type="noConversion"/>
  </si>
  <si>
    <t>사용금액</t>
    <phoneticPr fontId="7" type="noConversion"/>
  </si>
  <si>
    <t>업소명</t>
    <phoneticPr fontId="7" type="noConversion"/>
  </si>
  <si>
    <t>경비코드</t>
    <phoneticPr fontId="7" type="noConversion"/>
  </si>
  <si>
    <t>PJ00000000</t>
  </si>
  <si>
    <t>[Project Code 관리]</t>
    <phoneticPr fontId="7" type="noConversion"/>
  </si>
  <si>
    <t>프로젝트명칭</t>
  </si>
  <si>
    <t>프로젝트 코드</t>
  </si>
  <si>
    <t>프로젝트 아님</t>
  </si>
  <si>
    <t>■ 프로젝트 코드 (추후 추가 및 공지 필요)</t>
    <phoneticPr fontId="7" type="noConversion"/>
  </si>
  <si>
    <r>
      <rPr>
        <b/>
        <sz val="9"/>
        <color theme="1"/>
        <rFont val="맑은 고딕"/>
        <family val="3"/>
        <charset val="129"/>
        <scheme val="minor"/>
      </rPr>
      <t>■ PJT Code 생성 규칙</t>
    </r>
    <r>
      <rPr>
        <sz val="9"/>
        <color theme="1"/>
        <rFont val="맑은 고딕"/>
        <family val="3"/>
        <charset val="129"/>
        <scheme val="minor"/>
      </rPr>
      <t xml:space="preserve">
    </t>
    </r>
    <r>
      <rPr>
        <b/>
        <sz val="9"/>
        <color theme="1"/>
        <rFont val="맑은 고딕"/>
        <family val="3"/>
        <charset val="129"/>
        <scheme val="minor"/>
      </rPr>
      <t>*</t>
    </r>
    <r>
      <rPr>
        <sz val="9"/>
        <color theme="1"/>
        <rFont val="맑은 고딕"/>
        <family val="3"/>
        <charset val="129"/>
        <scheme val="minor"/>
      </rPr>
      <t xml:space="preserve"> Code는 총 10자리로 접두어 "PJ" + 아라비아 숫자만으로 생성한다. (예시: "PJ12345678")
    </t>
    </r>
    <r>
      <rPr>
        <b/>
        <sz val="9"/>
        <color theme="1"/>
        <rFont val="맑은 고딕"/>
        <family val="3"/>
        <charset val="129"/>
        <scheme val="minor"/>
      </rPr>
      <t>*</t>
    </r>
    <r>
      <rPr>
        <sz val="9"/>
        <color theme="1"/>
        <rFont val="맑은 고딕"/>
        <family val="3"/>
        <charset val="129"/>
        <scheme val="minor"/>
      </rPr>
      <t xml:space="preserve"> 생성 Rule: 사업부코드 두자리 + 수주년도 두자리 + 일련번호 4자리
       ※ 사업부 코드는 "사업부코드" 워크시트를 참조한다.
       ※ 예시) 수도권사업부(사업부코드 "02")에서 '15년도에 수주한 24번째 프로젝트의 경우
           : PJ02150024"</t>
    </r>
    <phoneticPr fontId="7" type="noConversion"/>
  </si>
  <si>
    <t>직위</t>
    <phoneticPr fontId="7" type="noConversion"/>
  </si>
  <si>
    <t>임원금액</t>
    <phoneticPr fontId="7" type="noConversion"/>
  </si>
  <si>
    <t>구성원금액</t>
    <phoneticPr fontId="7" type="noConversion"/>
  </si>
  <si>
    <t>계정</t>
    <phoneticPr fontId="7" type="noConversion"/>
  </si>
  <si>
    <t>직책</t>
    <phoneticPr fontId="7" type="noConversion"/>
  </si>
  <si>
    <t>매니저</t>
    <phoneticPr fontId="7" type="noConversion"/>
  </si>
  <si>
    <t>비고</t>
    <phoneticPr fontId="7" type="noConversion"/>
  </si>
  <si>
    <t>Unit장</t>
    <phoneticPr fontId="1" type="noConversion"/>
  </si>
  <si>
    <t>직책</t>
    <phoneticPr fontId="3" type="noConversion"/>
  </si>
  <si>
    <t>본부장</t>
    <phoneticPr fontId="1" type="noConversion"/>
  </si>
  <si>
    <t>관리Unit장</t>
    <phoneticPr fontId="1" type="noConversion"/>
  </si>
  <si>
    <t>경영관리본부</t>
  </si>
  <si>
    <t>2025.12.31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</si>
</sst>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-* #,##0_-;\-* #,##0_-;_-* &quot;&quot;_-;_-@_-"/>
    <numFmt numFmtId="177" formatCode="yyyy&quot;년&quot;\ m&quot;월&quot;\ d&quot;일&quot;;@"/>
    <numFmt numFmtId="178" formatCode="[DBNum4][$-412]General"/>
    <numFmt numFmtId="179" formatCode="yyyy\.mm\.dd"/>
  </numFmts>
  <fonts count="2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indexed="8"/>
      <name val="HY견고딕"/>
      <family val="1"/>
      <charset val="129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i/>
      <sz val="9"/>
      <color theme="0" tint="-0.249977111117893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sz val="9"/>
      <color theme="0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  <scheme val="major"/>
    </font>
    <font>
      <sz val="9"/>
      <color indexed="81"/>
      <name val="맑은 고딕"/>
      <family val="3"/>
      <charset val="129"/>
      <scheme val="major"/>
    </font>
    <font>
      <b/>
      <u/>
      <sz val="9"/>
      <color indexed="81"/>
      <name val="맑은 고딕"/>
      <family val="3"/>
      <charset val="129"/>
      <scheme val="major"/>
    </font>
    <font>
      <b/>
      <i/>
      <sz val="9"/>
      <color theme="0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5">
    <xf numFmtId="0" fontId="0" fillId="0" borderId="0">
      <alignment vertical="center"/>
    </xf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4" fillId="0" borderId="0" applyFont="0" applyFill="0" applyBorder="0" applyAlignment="0" applyProtection="0"/>
    <xf numFmtId="0" fontId="2" fillId="0" borderId="0">
      <alignment vertical="center"/>
    </xf>
    <xf numFmtId="0" fontId="2" fillId="0" borderId="0"/>
    <xf numFmtId="41" fontId="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2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10" fillId="2" borderId="0" xfId="0" applyFont="1" applyFill="1">
      <alignment vertical="center"/>
    </xf>
    <xf numFmtId="0" fontId="10" fillId="2" borderId="0" xfId="0" applyFont="1" applyFill="1" applyAlignment="1">
      <alignment vertical="center" wrapText="1"/>
    </xf>
    <xf numFmtId="0" fontId="11" fillId="2" borderId="0" xfId="0" applyFont="1" applyFill="1">
      <alignment vertical="center"/>
    </xf>
    <xf numFmtId="0" fontId="10" fillId="2" borderId="7" xfId="0" applyFont="1" applyFill="1" applyBorder="1">
      <alignment vertical="center"/>
    </xf>
    <xf numFmtId="0" fontId="10" fillId="2" borderId="6" xfId="0" applyFont="1" applyFill="1" applyBorder="1">
      <alignment vertical="center"/>
    </xf>
    <xf numFmtId="0" fontId="11" fillId="2" borderId="15" xfId="0" applyFont="1" applyFill="1" applyBorder="1" applyAlignment="1">
      <alignment vertical="center" shrinkToFit="1"/>
    </xf>
    <xf numFmtId="0" fontId="11" fillId="2" borderId="15" xfId="0" applyFont="1" applyFill="1" applyBorder="1" applyAlignment="1">
      <alignment horizontal="right" vertical="center" shrinkToFit="1"/>
    </xf>
    <xf numFmtId="0" fontId="11" fillId="2" borderId="0" xfId="0" applyFont="1" applyFill="1" applyAlignment="1">
      <alignment vertical="center" shrinkToFit="1"/>
    </xf>
    <xf numFmtId="0" fontId="10" fillId="2" borderId="0" xfId="0" applyFont="1" applyFill="1" applyAlignment="1">
      <alignment vertical="center" shrinkToFit="1"/>
    </xf>
    <xf numFmtId="0" fontId="10" fillId="2" borderId="9" xfId="0" applyFont="1" applyFill="1" applyBorder="1">
      <alignment vertical="center"/>
    </xf>
    <xf numFmtId="0" fontId="10" fillId="2" borderId="10" xfId="0" applyFont="1" applyFill="1" applyBorder="1">
      <alignment vertical="center"/>
    </xf>
    <xf numFmtId="0" fontId="10" fillId="2" borderId="11" xfId="0" applyFont="1" applyFill="1" applyBorder="1">
      <alignment vertical="center"/>
    </xf>
    <xf numFmtId="0" fontId="10" fillId="2" borderId="12" xfId="0" applyFont="1" applyFill="1" applyBorder="1">
      <alignment vertical="center"/>
    </xf>
    <xf numFmtId="0" fontId="10" fillId="2" borderId="13" xfId="0" applyFont="1" applyFill="1" applyBorder="1">
      <alignment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5" fillId="0" borderId="12" xfId="0" applyFont="1" applyBorder="1">
      <alignment vertical="center"/>
    </xf>
    <xf numFmtId="0" fontId="10" fillId="0" borderId="13" xfId="0" applyFont="1" applyBorder="1">
      <alignment vertical="center"/>
    </xf>
    <xf numFmtId="0" fontId="10" fillId="0" borderId="0" xfId="0" applyFont="1">
      <alignment vertical="center"/>
    </xf>
    <xf numFmtId="0" fontId="10" fillId="2" borderId="22" xfId="0" applyFont="1" applyFill="1" applyBorder="1">
      <alignment vertical="center"/>
    </xf>
    <xf numFmtId="0" fontId="10" fillId="2" borderId="15" xfId="0" applyFont="1" applyFill="1" applyBorder="1">
      <alignment vertical="center"/>
    </xf>
    <xf numFmtId="0" fontId="10" fillId="2" borderId="23" xfId="0" applyFont="1" applyFill="1" applyBorder="1">
      <alignment vertical="center"/>
    </xf>
    <xf numFmtId="0" fontId="12" fillId="0" borderId="0" xfId="0" applyFont="1">
      <alignment vertical="center"/>
    </xf>
    <xf numFmtId="0" fontId="18" fillId="4" borderId="24" xfId="0" applyFont="1" applyFill="1" applyBorder="1">
      <alignment vertical="center"/>
    </xf>
    <xf numFmtId="0" fontId="16" fillId="0" borderId="24" xfId="0" applyFont="1" applyBorder="1" applyAlignment="1">
      <alignment horizontal="center" vertical="center"/>
    </xf>
    <xf numFmtId="0" fontId="16" fillId="4" borderId="24" xfId="0" applyFont="1" applyFill="1" applyBorder="1" applyAlignment="1">
      <alignment horizontal="left" vertical="center"/>
    </xf>
    <xf numFmtId="41" fontId="16" fillId="0" borderId="24" xfId="0" applyNumberFormat="1" applyFont="1" applyBorder="1" applyAlignment="1" applyProtection="1">
      <alignment horizontal="center" vertical="center"/>
      <protection locked="0"/>
    </xf>
    <xf numFmtId="179" fontId="16" fillId="0" borderId="24" xfId="0" applyNumberFormat="1" applyFont="1" applyBorder="1" applyAlignment="1" applyProtection="1">
      <alignment horizontal="center" vertical="center"/>
      <protection locked="0"/>
    </xf>
    <xf numFmtId="0" fontId="8" fillId="0" borderId="25" xfId="0" applyFont="1" applyBorder="1">
      <alignment vertical="center"/>
    </xf>
    <xf numFmtId="0" fontId="16" fillId="0" borderId="25" xfId="0" applyFont="1" applyBorder="1">
      <alignment vertical="center"/>
    </xf>
    <xf numFmtId="0" fontId="16" fillId="0" borderId="25" xfId="0" applyFont="1" applyBorder="1" applyAlignment="1">
      <alignment horizontal="left" vertical="center"/>
    </xf>
    <xf numFmtId="0" fontId="16" fillId="0" borderId="25" xfId="0" applyFont="1" applyBorder="1" applyAlignment="1">
      <alignment horizontal="center" vertical="center"/>
    </xf>
    <xf numFmtId="41" fontId="16" fillId="0" borderId="25" xfId="14" applyFont="1" applyBorder="1">
      <alignment vertical="center"/>
    </xf>
    <xf numFmtId="0" fontId="17" fillId="0" borderId="25" xfId="0" applyFont="1" applyBorder="1">
      <alignment vertical="center"/>
    </xf>
    <xf numFmtId="0" fontId="18" fillId="0" borderId="25" xfId="0" applyFont="1" applyBorder="1">
      <alignment vertical="center"/>
    </xf>
    <xf numFmtId="41" fontId="20" fillId="0" borderId="25" xfId="14" applyFont="1" applyBorder="1">
      <alignment vertical="center"/>
    </xf>
    <xf numFmtId="41" fontId="16" fillId="0" borderId="25" xfId="14" applyFont="1" applyBorder="1" applyAlignment="1">
      <alignment horizontal="center" vertical="center"/>
    </xf>
    <xf numFmtId="3" fontId="16" fillId="0" borderId="25" xfId="0" applyNumberFormat="1" applyFont="1" applyBorder="1">
      <alignment vertical="center"/>
    </xf>
    <xf numFmtId="0" fontId="19" fillId="0" borderId="25" xfId="0" applyFont="1" applyBorder="1">
      <alignment vertical="center"/>
    </xf>
    <xf numFmtId="0" fontId="16" fillId="0" borderId="26" xfId="0" applyFont="1" applyBorder="1">
      <alignment vertical="center"/>
    </xf>
    <xf numFmtId="0" fontId="16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18" fillId="0" borderId="28" xfId="0" applyFont="1" applyBorder="1">
      <alignment vertical="center"/>
    </xf>
    <xf numFmtId="0" fontId="16" fillId="0" borderId="28" xfId="0" applyFont="1" applyBorder="1" applyAlignment="1">
      <alignment horizontal="left" vertical="center"/>
    </xf>
    <xf numFmtId="0" fontId="16" fillId="0" borderId="29" xfId="0" applyFont="1" applyBorder="1">
      <alignment vertical="center"/>
    </xf>
    <xf numFmtId="0" fontId="16" fillId="0" borderId="29" xfId="0" applyFont="1" applyBorder="1" applyAlignment="1">
      <alignment horizontal="left" vertical="center"/>
    </xf>
    <xf numFmtId="0" fontId="16" fillId="0" borderId="26" xfId="0" applyFont="1" applyBorder="1" applyAlignment="1">
      <alignment horizontal="center" vertical="center"/>
    </xf>
    <xf numFmtId="0" fontId="16" fillId="0" borderId="27" xfId="0" applyFont="1" applyBorder="1">
      <alignment vertical="center"/>
    </xf>
    <xf numFmtId="41" fontId="16" fillId="0" borderId="27" xfId="0" applyNumberFormat="1" applyFont="1" applyBorder="1">
      <alignment vertical="center"/>
    </xf>
    <xf numFmtId="0" fontId="16" fillId="0" borderId="28" xfId="0" applyFont="1" applyBorder="1" applyAlignment="1">
      <alignment horizontal="center" vertical="center"/>
    </xf>
    <xf numFmtId="41" fontId="16" fillId="0" borderId="28" xfId="14" applyFont="1" applyBorder="1">
      <alignment vertical="center"/>
    </xf>
    <xf numFmtId="0" fontId="16" fillId="0" borderId="28" xfId="0" applyFont="1" applyBorder="1">
      <alignment vertical="center"/>
    </xf>
    <xf numFmtId="0" fontId="16" fillId="0" borderId="29" xfId="0" applyFont="1" applyBorder="1" applyAlignment="1">
      <alignment horizontal="center" vertical="center"/>
    </xf>
    <xf numFmtId="41" fontId="16" fillId="0" borderId="29" xfId="14" applyFont="1" applyBorder="1">
      <alignment vertical="center"/>
    </xf>
    <xf numFmtId="0" fontId="8" fillId="0" borderId="25" xfId="0" applyFont="1" applyBorder="1" applyAlignment="1">
      <alignment horizontal="left" vertical="center"/>
    </xf>
    <xf numFmtId="49" fontId="16" fillId="0" borderId="25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vertical="center" wrapText="1"/>
    </xf>
    <xf numFmtId="0" fontId="16" fillId="0" borderId="25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left" vertical="center"/>
    </xf>
    <xf numFmtId="49" fontId="16" fillId="0" borderId="28" xfId="0" applyNumberFormat="1" applyFont="1" applyBorder="1" applyAlignment="1">
      <alignment horizontal="center" vertical="center"/>
    </xf>
    <xf numFmtId="49" fontId="16" fillId="0" borderId="29" xfId="0" applyNumberFormat="1" applyFont="1" applyBorder="1" applyAlignment="1">
      <alignment horizontal="center" vertical="center"/>
    </xf>
    <xf numFmtId="0" fontId="16" fillId="5" borderId="30" xfId="0" applyFont="1" applyFill="1" applyBorder="1" applyAlignment="1">
      <alignment horizontal="center" vertical="center"/>
    </xf>
    <xf numFmtId="49" fontId="16" fillId="5" borderId="31" xfId="0" applyNumberFormat="1" applyFont="1" applyFill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49" fontId="16" fillId="0" borderId="33" xfId="0" applyNumberFormat="1" applyFont="1" applyBorder="1" applyAlignment="1">
      <alignment horizontal="center" vertical="center"/>
    </xf>
    <xf numFmtId="0" fontId="20" fillId="0" borderId="25" xfId="0" applyFont="1" applyBorder="1">
      <alignment vertical="center"/>
    </xf>
    <xf numFmtId="0" fontId="24" fillId="0" borderId="25" xfId="0" applyFont="1" applyBorder="1">
      <alignment vertical="center"/>
    </xf>
    <xf numFmtId="0" fontId="20" fillId="0" borderId="25" xfId="0" applyFont="1" applyBorder="1" applyAlignment="1">
      <alignment horizontal="center" vertical="center"/>
    </xf>
    <xf numFmtId="0" fontId="25" fillId="4" borderId="24" xfId="0" applyFont="1" applyFill="1" applyBorder="1" applyAlignment="1">
      <alignment horizontal="center" vertical="center"/>
    </xf>
    <xf numFmtId="41" fontId="25" fillId="4" borderId="24" xfId="14" applyFont="1" applyFill="1" applyBorder="1" applyAlignment="1">
      <alignment horizontal="center" vertical="center"/>
    </xf>
    <xf numFmtId="0" fontId="26" fillId="3" borderId="24" xfId="0" applyFont="1" applyFill="1" applyBorder="1">
      <alignment vertical="center"/>
    </xf>
    <xf numFmtId="179" fontId="26" fillId="0" borderId="24" xfId="0" applyNumberFormat="1" applyFont="1" applyBorder="1" applyAlignment="1">
      <alignment horizontal="center" vertical="center"/>
    </xf>
    <xf numFmtId="0" fontId="26" fillId="0" borderId="24" xfId="0" applyFont="1" applyBorder="1" applyAlignment="1">
      <alignment horizontal="left" vertical="center"/>
    </xf>
    <xf numFmtId="0" fontId="26" fillId="0" borderId="24" xfId="0" applyFont="1" applyBorder="1" applyAlignment="1">
      <alignment horizontal="center" vertical="center"/>
    </xf>
    <xf numFmtId="3" fontId="26" fillId="0" borderId="24" xfId="0" applyNumberFormat="1" applyFont="1" applyBorder="1" applyAlignment="1">
      <alignment horizontal="right" vertical="center"/>
    </xf>
    <xf numFmtId="41" fontId="10" fillId="2" borderId="16" xfId="3" applyFont="1" applyFill="1" applyBorder="1" applyAlignment="1">
      <alignment horizontal="center" vertical="center" wrapText="1"/>
    </xf>
    <xf numFmtId="41" fontId="10" fillId="2" borderId="17" xfId="3" applyFont="1" applyFill="1" applyBorder="1" applyAlignment="1">
      <alignment horizontal="center" vertical="center" wrapText="1"/>
    </xf>
    <xf numFmtId="41" fontId="10" fillId="2" borderId="18" xfId="3" applyFont="1" applyFill="1" applyBorder="1" applyAlignment="1">
      <alignment horizontal="center" vertical="center" wrapText="1"/>
    </xf>
    <xf numFmtId="0" fontId="10" fillId="0" borderId="16" xfId="3" applyNumberFormat="1" applyFont="1" applyBorder="1" applyAlignment="1">
      <alignment horizontal="left" vertical="center" wrapText="1"/>
    </xf>
    <xf numFmtId="0" fontId="10" fillId="0" borderId="17" xfId="3" applyNumberFormat="1" applyFont="1" applyBorder="1" applyAlignment="1">
      <alignment horizontal="left" vertical="center" wrapText="1"/>
    </xf>
    <xf numFmtId="0" fontId="10" fillId="0" borderId="18" xfId="3" applyNumberFormat="1" applyFont="1" applyBorder="1" applyAlignment="1">
      <alignment horizontal="left" vertical="center" wrapText="1"/>
    </xf>
    <xf numFmtId="179" fontId="10" fillId="2" borderId="16" xfId="0" applyNumberFormat="1" applyFont="1" applyFill="1" applyBorder="1" applyAlignment="1">
      <alignment horizontal="center" vertical="center" wrapText="1"/>
    </xf>
    <xf numFmtId="179" fontId="10" fillId="2" borderId="17" xfId="0" applyNumberFormat="1" applyFont="1" applyFill="1" applyBorder="1" applyAlignment="1">
      <alignment horizontal="center" vertical="center" wrapText="1"/>
    </xf>
    <xf numFmtId="179" fontId="10" fillId="2" borderId="18" xfId="0" applyNumberFormat="1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27" fillId="2" borderId="7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distributed" vertical="center" indent="2"/>
    </xf>
    <xf numFmtId="0" fontId="10" fillId="2" borderId="7" xfId="0" applyFont="1" applyFill="1" applyBorder="1" applyAlignment="1">
      <alignment horizontal="center" vertical="center" shrinkToFit="1"/>
    </xf>
    <xf numFmtId="0" fontId="10" fillId="2" borderId="8" xfId="0" applyFont="1" applyFill="1" applyBorder="1" applyAlignment="1">
      <alignment horizontal="center" vertical="center" shrinkToFit="1"/>
    </xf>
    <xf numFmtId="0" fontId="10" fillId="2" borderId="6" xfId="0" applyFont="1" applyFill="1" applyBorder="1" applyAlignment="1">
      <alignment horizontal="center" vertical="center" shrinkToFit="1"/>
    </xf>
    <xf numFmtId="176" fontId="13" fillId="2" borderId="15" xfId="0" applyNumberFormat="1" applyFont="1" applyFill="1" applyBorder="1" applyAlignment="1">
      <alignment horizontal="center" vertical="center" shrinkToFit="1"/>
    </xf>
    <xf numFmtId="0" fontId="13" fillId="2" borderId="15" xfId="0" applyFont="1" applyFill="1" applyBorder="1" applyAlignment="1">
      <alignment horizontal="center" vertical="center" shrinkToFit="1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41" fontId="14" fillId="2" borderId="9" xfId="3" applyFont="1" applyFill="1" applyBorder="1" applyAlignment="1">
      <alignment horizontal="center" vertical="center" wrapText="1"/>
    </xf>
    <xf numFmtId="41" fontId="14" fillId="2" borderId="10" xfId="3" applyFont="1" applyFill="1" applyBorder="1" applyAlignment="1">
      <alignment horizontal="center" vertical="center" wrapText="1"/>
    </xf>
    <xf numFmtId="41" fontId="14" fillId="2" borderId="11" xfId="3" applyFont="1" applyFill="1" applyBorder="1" applyAlignment="1">
      <alignment horizontal="center" vertical="center" wrapText="1"/>
    </xf>
    <xf numFmtId="178" fontId="11" fillId="2" borderId="15" xfId="0" applyNumberFormat="1" applyFont="1" applyFill="1" applyBorder="1" applyAlignment="1">
      <alignment horizontal="center" vertical="center" shrinkToFit="1"/>
    </xf>
    <xf numFmtId="0" fontId="12" fillId="0" borderId="15" xfId="0" applyFont="1" applyBorder="1" applyAlignment="1">
      <alignment vertical="center" shrinkToFit="1"/>
    </xf>
    <xf numFmtId="0" fontId="9" fillId="2" borderId="0" xfId="0" applyFont="1" applyFill="1" applyAlignment="1">
      <alignment horizontal="right" vertical="center"/>
    </xf>
    <xf numFmtId="0" fontId="11" fillId="2" borderId="13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177" fontId="10" fillId="2" borderId="9" xfId="0" applyNumberFormat="1" applyFont="1" applyFill="1" applyBorder="1" applyAlignment="1">
      <alignment horizontal="center" vertical="center"/>
    </xf>
    <xf numFmtId="177" fontId="10" fillId="2" borderId="10" xfId="0" applyNumberFormat="1" applyFont="1" applyFill="1" applyBorder="1" applyAlignment="1">
      <alignment horizontal="center" vertical="center"/>
    </xf>
    <xf numFmtId="177" fontId="10" fillId="2" borderId="11" xfId="0" applyNumberFormat="1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 textRotation="255"/>
    </xf>
    <xf numFmtId="0" fontId="10" fillId="2" borderId="14" xfId="0" applyFont="1" applyFill="1" applyBorder="1" applyAlignment="1">
      <alignment horizontal="center" vertical="center" textRotation="255"/>
    </xf>
    <xf numFmtId="0" fontId="10" fillId="2" borderId="8" xfId="0" applyFont="1" applyFill="1" applyBorder="1" applyAlignment="1">
      <alignment horizontal="center" vertical="center"/>
    </xf>
    <xf numFmtId="176" fontId="11" fillId="2" borderId="3" xfId="3" applyNumberFormat="1" applyFont="1" applyFill="1" applyBorder="1" applyAlignment="1">
      <alignment horizontal="center" vertical="center"/>
    </xf>
    <xf numFmtId="0" fontId="11" fillId="2" borderId="19" xfId="0" applyFont="1" applyFill="1" applyBorder="1">
      <alignment vertical="center"/>
    </xf>
    <xf numFmtId="0" fontId="11" fillId="2" borderId="20" xfId="0" applyFont="1" applyFill="1" applyBorder="1">
      <alignment vertical="center"/>
    </xf>
    <xf numFmtId="0" fontId="11" fillId="2" borderId="21" xfId="0" applyFont="1" applyFill="1" applyBorder="1">
      <alignment vertical="center"/>
    </xf>
    <xf numFmtId="0" fontId="16" fillId="0" borderId="25" xfId="0" applyFont="1" applyBorder="1" applyAlignment="1">
      <alignment horizontal="left" vertical="center" wrapText="1"/>
    </xf>
  </cellXfs>
  <cellStyles count="15">
    <cellStyle name="Header1" xfId="1" xr:uid="{00000000-0005-0000-0000-000000000000}"/>
    <cellStyle name="Header2" xfId="2" xr:uid="{00000000-0005-0000-0000-000001000000}"/>
    <cellStyle name="쉼표 [0]" xfId="3" builtinId="6"/>
    <cellStyle name="쉼표 [0] 10" xfId="14" xr:uid="{00000000-0005-0000-0000-000003000000}"/>
    <cellStyle name="쉼표 [0] 2" xfId="4" xr:uid="{00000000-0005-0000-0000-000004000000}"/>
    <cellStyle name="쉼표 [0] 2 2" xfId="11" xr:uid="{00000000-0005-0000-0000-000005000000}"/>
    <cellStyle name="쉼표 [0] 3" xfId="5" xr:uid="{00000000-0005-0000-0000-000006000000}"/>
    <cellStyle name="쉼표 [0] 3 2" xfId="12" xr:uid="{00000000-0005-0000-0000-000007000000}"/>
    <cellStyle name="쉼표 [0] 4" xfId="10" xr:uid="{00000000-0005-0000-0000-000008000000}"/>
    <cellStyle name="콤마 [0]_95" xfId="6" xr:uid="{00000000-0005-0000-0000-000009000000}"/>
    <cellStyle name="콤마_95" xfId="7" xr:uid="{00000000-0005-0000-0000-00000A000000}"/>
    <cellStyle name="표준" xfId="0" builtinId="0"/>
    <cellStyle name="표준 2" xfId="8" xr:uid="{00000000-0005-0000-0000-00000C000000}"/>
    <cellStyle name="표준 2 2 2" xfId="13" xr:uid="{00000000-0005-0000-0000-00000D000000}"/>
    <cellStyle name="표준 3" xfId="9" xr:uid="{00000000-0005-0000-0000-00000E000000}"/>
  </cellStyles>
  <dxfs count="3">
    <dxf>
      <fill>
        <patternFill>
          <bgColor rgb="FFFFFF00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FF66"/>
      <color rgb="FFCC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51</xdr:row>
      <xdr:rowOff>66675</xdr:rowOff>
    </xdr:from>
    <xdr:to>
      <xdr:col>26</xdr:col>
      <xdr:colOff>238125</xdr:colOff>
      <xdr:row>53</xdr:row>
      <xdr:rowOff>95204</xdr:rowOff>
    </xdr:to>
    <xdr:pic>
      <xdr:nvPicPr>
        <xdr:cNvPr id="2" name="그림 1" descr="YNC_logo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0" y="11363325"/>
          <a:ext cx="2095500" cy="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39997558519241921"/>
  </sheetPr>
  <dimension ref="A1:AF115"/>
  <sheetViews>
    <sheetView tabSelected="1" workbookViewId="0">
      <selection activeCell="G7" sqref="G7"/>
    </sheetView>
  </sheetViews>
  <sheetFormatPr defaultColWidth="8.69921875" defaultRowHeight="18" customHeight="1" x14ac:dyDescent="0.4"/>
  <cols>
    <col min="1" max="1" width="3.3984375" style="31" customWidth="1"/>
    <col min="2" max="2" width="12.19921875" style="31" customWidth="1"/>
    <col min="3" max="3" width="14.296875" style="32" bestFit="1" customWidth="1"/>
    <col min="4" max="4" width="17.19921875" style="32" customWidth="1"/>
    <col min="5" max="5" width="10.19921875" style="33" bestFit="1" customWidth="1"/>
    <col min="6" max="6" width="11.8984375" style="34" customWidth="1"/>
    <col min="7" max="7" width="25.8984375" style="31" customWidth="1"/>
    <col min="8" max="8" width="8.19921875" style="33" bestFit="1" customWidth="1"/>
    <col min="9" max="9" width="10.3984375" style="32" bestFit="1" customWidth="1"/>
    <col min="10" max="10" width="36.59765625" style="32" bestFit="1" customWidth="1"/>
    <col min="11" max="11" width="7.5" style="31" bestFit="1" customWidth="1"/>
    <col min="12" max="26" width="8.69921875" style="31"/>
    <col min="27" max="32" width="8.69921875" style="67"/>
    <col min="33" max="16384" width="8.69921875" style="31"/>
  </cols>
  <sheetData>
    <row r="1" spans="1:32" ht="27" customHeight="1" x14ac:dyDescent="0.4">
      <c r="A1" s="30" t="s">
        <v>21</v>
      </c>
    </row>
    <row r="2" spans="1:32" ht="13.2" x14ac:dyDescent="0.4">
      <c r="A2" s="35" t="s">
        <v>22</v>
      </c>
    </row>
    <row r="3" spans="1:32" ht="13.2" x14ac:dyDescent="0.4"/>
    <row r="4" spans="1:32" ht="18" customHeight="1" x14ac:dyDescent="0.4">
      <c r="A4" s="36" t="s">
        <v>23</v>
      </c>
      <c r="B4" s="44"/>
      <c r="C4" s="45"/>
      <c r="D4" s="45"/>
    </row>
    <row r="5" spans="1:32" ht="18" customHeight="1" x14ac:dyDescent="0.4">
      <c r="A5" s="41"/>
      <c r="B5" s="25" t="s">
        <v>24</v>
      </c>
      <c r="C5" s="26"/>
      <c r="D5" s="27"/>
      <c r="E5" s="42"/>
    </row>
    <row r="6" spans="1:32" ht="18" customHeight="1" x14ac:dyDescent="0.4">
      <c r="A6" s="41"/>
      <c r="B6" s="25" t="s">
        <v>51</v>
      </c>
      <c r="C6" s="26" t="s">
        <v>52</v>
      </c>
      <c r="D6" s="27"/>
      <c r="E6" s="43" t="s">
        <v>25</v>
      </c>
      <c r="F6" s="37" t="s">
        <v>26</v>
      </c>
    </row>
    <row r="7" spans="1:32" ht="18" customHeight="1" x14ac:dyDescent="0.4">
      <c r="A7" s="41"/>
      <c r="B7" s="25" t="s">
        <v>27</v>
      </c>
      <c r="C7" s="26" t="s">
        <v>58</v>
      </c>
      <c r="D7" s="27"/>
      <c r="E7" s="42"/>
      <c r="F7" s="38"/>
      <c r="G7" s="39"/>
    </row>
    <row r="8" spans="1:32" ht="18" customHeight="1" x14ac:dyDescent="0.4">
      <c r="A8" s="41"/>
      <c r="B8" s="25" t="s">
        <v>28</v>
      </c>
      <c r="C8" s="26">
        <f>COUNTA(F14:F112)</f>
        <v>0</v>
      </c>
      <c r="D8" s="27" t="s">
        <v>29</v>
      </c>
      <c r="E8" s="42"/>
      <c r="F8" s="38"/>
      <c r="G8" s="39"/>
    </row>
    <row r="9" spans="1:32" ht="18" customHeight="1" x14ac:dyDescent="0.4">
      <c r="A9" s="41"/>
      <c r="B9" s="25" t="s">
        <v>30</v>
      </c>
      <c r="C9" s="29" t="s">
        <v>59</v>
      </c>
      <c r="D9" s="27"/>
      <c r="E9" s="42"/>
      <c r="F9" s="38"/>
      <c r="G9" s="39"/>
    </row>
    <row r="10" spans="1:32" ht="18" customHeight="1" x14ac:dyDescent="0.4">
      <c r="A10" s="41"/>
      <c r="B10" s="25" t="s">
        <v>31</v>
      </c>
      <c r="C10" s="28">
        <f>SUM(F14:F112)</f>
        <v>0</v>
      </c>
      <c r="D10" s="27"/>
      <c r="E10" s="42"/>
      <c r="F10" s="38"/>
      <c r="G10" s="39"/>
    </row>
    <row r="11" spans="1:32" ht="18" customHeight="1" x14ac:dyDescent="0.4">
      <c r="B11" s="46"/>
      <c r="C11" s="47"/>
      <c r="D11" s="47"/>
      <c r="AA11" s="68"/>
      <c r="AB11" s="68"/>
      <c r="AC11" s="68"/>
    </row>
    <row r="12" spans="1:32" ht="18" customHeight="1" x14ac:dyDescent="0.4">
      <c r="A12" s="40" t="s">
        <v>32</v>
      </c>
      <c r="B12" s="44"/>
      <c r="C12" s="45"/>
      <c r="D12" s="45"/>
      <c r="E12" s="51"/>
      <c r="F12" s="52"/>
      <c r="G12" s="53"/>
      <c r="H12" s="51"/>
      <c r="I12" s="45"/>
      <c r="J12" s="45"/>
    </row>
    <row r="13" spans="1:32" s="33" customFormat="1" ht="18" customHeight="1" x14ac:dyDescent="0.4">
      <c r="A13" s="48"/>
      <c r="B13" s="70" t="s">
        <v>33</v>
      </c>
      <c r="C13" s="70" t="s">
        <v>34</v>
      </c>
      <c r="D13" s="70" t="s">
        <v>35</v>
      </c>
      <c r="E13" s="70" t="s">
        <v>36</v>
      </c>
      <c r="F13" s="71" t="s">
        <v>37</v>
      </c>
      <c r="G13" s="70" t="s">
        <v>38</v>
      </c>
      <c r="H13" s="70" t="s">
        <v>39</v>
      </c>
      <c r="I13" s="70" t="s">
        <v>25</v>
      </c>
      <c r="J13" s="70" t="s">
        <v>53</v>
      </c>
      <c r="K13" s="42"/>
      <c r="AA13" s="69" t="s">
        <v>47</v>
      </c>
      <c r="AB13" s="69" t="s">
        <v>48</v>
      </c>
      <c r="AC13" s="69" t="s">
        <v>49</v>
      </c>
      <c r="AD13" s="69" t="s">
        <v>50</v>
      </c>
      <c r="AE13" s="69"/>
      <c r="AF13" s="69"/>
    </row>
    <row r="14" spans="1:32" ht="18" customHeight="1" x14ac:dyDescent="0.4">
      <c r="A14" s="41"/>
      <c r="B14" s="72" t="str">
        <f t="shared" ref="B14:B23" si="0">IF(C14 &lt;&gt;"",$C$5, "-")</f>
        <v>-</v>
      </c>
      <c r="C14" s="73"/>
      <c r="D14" s="74"/>
      <c r="E14" s="75"/>
      <c r="F14" s="76"/>
      <c r="G14" s="74"/>
      <c r="H14" s="75"/>
      <c r="I14" s="74" t="str">
        <f t="shared" ref="I14:I23" si="1">IF(C14 &lt;&gt;"",$F$6, "-")</f>
        <v>-</v>
      </c>
      <c r="J14" s="74"/>
      <c r="K14" s="49"/>
      <c r="AA14" s="67" t="str">
        <f>IF($C$6="이사","T",IF($C$6="부사장","T",IF($C$6="전무","T",IF($C$6="상무","T","F"))))</f>
        <v>F</v>
      </c>
      <c r="AB14" s="67" t="str">
        <f>IF(AND(AA14="T",F14&gt;=100000),"T","F")</f>
        <v>F</v>
      </c>
      <c r="AC14" s="67" t="str">
        <f>IF(AND(AA14="F",F14&gt;=70000),"T","F")</f>
        <v>F</v>
      </c>
      <c r="AD14" s="67" t="str">
        <f>IF(OR(E14="접대비",E14="회식비",E14="야특근식비"),"T","F")</f>
        <v>F</v>
      </c>
      <c r="AE14" s="67" t="str">
        <f>IF(AND(AA14="T",AB14="T"),"T",IF(AND(AA14="F",AC14="T"),"T","F"))</f>
        <v>F</v>
      </c>
      <c r="AF14" s="67" t="str">
        <f>IF(AND(AD14="T",AE14="T"),"T","F")</f>
        <v>F</v>
      </c>
    </row>
    <row r="15" spans="1:32" ht="18" customHeight="1" x14ac:dyDescent="0.4">
      <c r="A15" s="41"/>
      <c r="B15" s="72" t="str">
        <f t="shared" si="0"/>
        <v>-</v>
      </c>
      <c r="C15" s="73"/>
      <c r="D15" s="74"/>
      <c r="E15" s="75"/>
      <c r="F15" s="76"/>
      <c r="G15" s="74"/>
      <c r="H15" s="75"/>
      <c r="I15" s="74" t="str">
        <f t="shared" si="1"/>
        <v>-</v>
      </c>
      <c r="J15" s="74"/>
      <c r="K15" s="49"/>
      <c r="AA15" s="67" t="str">
        <f t="shared" ref="AA15:AA78" si="2">IF($C$6="이사","T",IF($C$6="부사장","T",IF($C$6="전무","T",IF($C$6="상무","T","F"))))</f>
        <v>F</v>
      </c>
      <c r="AB15" s="67" t="str">
        <f t="shared" ref="AB15:AB78" si="3">IF(AND(AA15="T",F15&gt;=100000),"T","F")</f>
        <v>F</v>
      </c>
      <c r="AC15" s="67" t="str">
        <f t="shared" ref="AC15:AC78" si="4">IF(AND(AA15="F",F15&gt;=70000),"T","F")</f>
        <v>F</v>
      </c>
      <c r="AD15" s="67" t="str">
        <f t="shared" ref="AD15:AD78" si="5">IF(OR(E15="접대비",E15="회식비",E15="야특근식비"),"T","F")</f>
        <v>F</v>
      </c>
      <c r="AE15" s="67" t="str">
        <f t="shared" ref="AE15:AE78" si="6">IF(AND(AA15="T",AB15="T"),"T",IF(AND(AA15="F",AC15="T"),"T","F"))</f>
        <v>F</v>
      </c>
      <c r="AF15" s="67" t="str">
        <f t="shared" ref="AF15:AF78" si="7">IF(AND(AD15="T",AE15="T"),"T","F")</f>
        <v>F</v>
      </c>
    </row>
    <row r="16" spans="1:32" ht="18" customHeight="1" x14ac:dyDescent="0.4">
      <c r="A16" s="41"/>
      <c r="B16" s="72" t="str">
        <f t="shared" si="0"/>
        <v>-</v>
      </c>
      <c r="C16" s="73"/>
      <c r="D16" s="74"/>
      <c r="E16" s="75"/>
      <c r="F16" s="76"/>
      <c r="G16" s="74"/>
      <c r="H16" s="75"/>
      <c r="I16" s="74" t="str">
        <f t="shared" si="1"/>
        <v>-</v>
      </c>
      <c r="J16" s="74"/>
      <c r="K16" s="49"/>
      <c r="AA16" s="67" t="str">
        <f t="shared" si="2"/>
        <v>F</v>
      </c>
      <c r="AB16" s="67" t="str">
        <f t="shared" si="3"/>
        <v>F</v>
      </c>
      <c r="AC16" s="67" t="str">
        <f t="shared" si="4"/>
        <v>F</v>
      </c>
      <c r="AD16" s="67" t="str">
        <f t="shared" si="5"/>
        <v>F</v>
      </c>
      <c r="AE16" s="67" t="str">
        <f t="shared" si="6"/>
        <v>F</v>
      </c>
      <c r="AF16" s="67" t="str">
        <f t="shared" si="7"/>
        <v>F</v>
      </c>
    </row>
    <row r="17" spans="1:32" ht="18" customHeight="1" x14ac:dyDescent="0.4">
      <c r="A17" s="41"/>
      <c r="B17" s="72" t="str">
        <f t="shared" si="0"/>
        <v>-</v>
      </c>
      <c r="C17" s="73"/>
      <c r="D17" s="74"/>
      <c r="E17" s="75"/>
      <c r="F17" s="76"/>
      <c r="G17" s="74"/>
      <c r="H17" s="75"/>
      <c r="I17" s="74" t="str">
        <f t="shared" si="1"/>
        <v>-</v>
      </c>
      <c r="J17" s="74"/>
      <c r="K17" s="49"/>
      <c r="AA17" s="67" t="str">
        <f t="shared" si="2"/>
        <v>F</v>
      </c>
      <c r="AB17" s="67" t="str">
        <f t="shared" si="3"/>
        <v>F</v>
      </c>
      <c r="AC17" s="67" t="str">
        <f t="shared" si="4"/>
        <v>F</v>
      </c>
      <c r="AD17" s="67" t="str">
        <f t="shared" si="5"/>
        <v>F</v>
      </c>
      <c r="AE17" s="67" t="str">
        <f t="shared" si="6"/>
        <v>F</v>
      </c>
      <c r="AF17" s="67" t="str">
        <f t="shared" si="7"/>
        <v>F</v>
      </c>
    </row>
    <row r="18" spans="1:32" ht="18" customHeight="1" x14ac:dyDescent="0.4">
      <c r="A18" s="41"/>
      <c r="B18" s="72" t="str">
        <f t="shared" si="0"/>
        <v>-</v>
      </c>
      <c r="C18" s="73"/>
      <c r="D18" s="74"/>
      <c r="E18" s="75"/>
      <c r="F18" s="76"/>
      <c r="G18" s="74"/>
      <c r="H18" s="75"/>
      <c r="I18" s="74" t="str">
        <f t="shared" si="1"/>
        <v>-</v>
      </c>
      <c r="J18" s="74"/>
      <c r="K18" s="49"/>
      <c r="AA18" s="67" t="str">
        <f t="shared" si="2"/>
        <v>F</v>
      </c>
      <c r="AB18" s="67" t="str">
        <f t="shared" si="3"/>
        <v>F</v>
      </c>
      <c r="AC18" s="67" t="str">
        <f t="shared" si="4"/>
        <v>F</v>
      </c>
      <c r="AD18" s="67" t="str">
        <f t="shared" si="5"/>
        <v>F</v>
      </c>
      <c r="AE18" s="67" t="str">
        <f t="shared" si="6"/>
        <v>F</v>
      </c>
      <c r="AF18" s="67" t="str">
        <f t="shared" si="7"/>
        <v>F</v>
      </c>
    </row>
    <row r="19" spans="1:32" ht="18" customHeight="1" x14ac:dyDescent="0.4">
      <c r="A19" s="41"/>
      <c r="B19" s="72" t="str">
        <f t="shared" si="0"/>
        <v>-</v>
      </c>
      <c r="C19" s="73"/>
      <c r="D19" s="74"/>
      <c r="E19" s="75"/>
      <c r="F19" s="76"/>
      <c r="G19" s="74"/>
      <c r="H19" s="75"/>
      <c r="I19" s="74" t="str">
        <f t="shared" si="1"/>
        <v>-</v>
      </c>
      <c r="J19" s="74"/>
      <c r="K19" s="49"/>
      <c r="AA19" s="67" t="str">
        <f t="shared" si="2"/>
        <v>F</v>
      </c>
      <c r="AB19" s="67" t="str">
        <f t="shared" si="3"/>
        <v>F</v>
      </c>
      <c r="AC19" s="67" t="str">
        <f t="shared" si="4"/>
        <v>F</v>
      </c>
      <c r="AD19" s="67" t="str">
        <f t="shared" si="5"/>
        <v>F</v>
      </c>
      <c r="AE19" s="67" t="str">
        <f t="shared" si="6"/>
        <v>F</v>
      </c>
      <c r="AF19" s="67" t="str">
        <f t="shared" si="7"/>
        <v>F</v>
      </c>
    </row>
    <row r="20" spans="1:32" ht="18" customHeight="1" x14ac:dyDescent="0.4">
      <c r="A20" s="41"/>
      <c r="B20" s="72" t="str">
        <f t="shared" si="0"/>
        <v>-</v>
      </c>
      <c r="C20" s="73"/>
      <c r="D20" s="74"/>
      <c r="E20" s="75"/>
      <c r="F20" s="76"/>
      <c r="G20" s="74"/>
      <c r="H20" s="75"/>
      <c r="I20" s="74" t="str">
        <f t="shared" si="1"/>
        <v>-</v>
      </c>
      <c r="J20" s="74"/>
      <c r="K20" s="49"/>
      <c r="AA20" s="67" t="str">
        <f t="shared" si="2"/>
        <v>F</v>
      </c>
      <c r="AB20" s="67" t="str">
        <f t="shared" si="3"/>
        <v>F</v>
      </c>
      <c r="AC20" s="67" t="str">
        <f t="shared" si="4"/>
        <v>F</v>
      </c>
      <c r="AD20" s="67" t="str">
        <f t="shared" si="5"/>
        <v>F</v>
      </c>
      <c r="AE20" s="67" t="str">
        <f t="shared" si="6"/>
        <v>F</v>
      </c>
      <c r="AF20" s="67" t="str">
        <f t="shared" si="7"/>
        <v>F</v>
      </c>
    </row>
    <row r="21" spans="1:32" ht="18" customHeight="1" x14ac:dyDescent="0.4">
      <c r="A21" s="41"/>
      <c r="B21" s="72" t="str">
        <f t="shared" si="0"/>
        <v>-</v>
      </c>
      <c r="C21" s="73"/>
      <c r="D21" s="74"/>
      <c r="E21" s="75"/>
      <c r="F21" s="76"/>
      <c r="G21" s="74"/>
      <c r="H21" s="75"/>
      <c r="I21" s="74" t="str">
        <f t="shared" si="1"/>
        <v>-</v>
      </c>
      <c r="J21" s="74"/>
      <c r="K21" s="49"/>
      <c r="AA21" s="67" t="str">
        <f t="shared" si="2"/>
        <v>F</v>
      </c>
      <c r="AB21" s="67" t="str">
        <f t="shared" si="3"/>
        <v>F</v>
      </c>
      <c r="AC21" s="67" t="str">
        <f t="shared" si="4"/>
        <v>F</v>
      </c>
      <c r="AD21" s="67" t="str">
        <f t="shared" si="5"/>
        <v>F</v>
      </c>
      <c r="AE21" s="67" t="str">
        <f t="shared" si="6"/>
        <v>F</v>
      </c>
      <c r="AF21" s="67" t="str">
        <f t="shared" si="7"/>
        <v>F</v>
      </c>
    </row>
    <row r="22" spans="1:32" ht="18" customHeight="1" x14ac:dyDescent="0.4">
      <c r="A22" s="41"/>
      <c r="B22" s="72" t="str">
        <f t="shared" si="0"/>
        <v>-</v>
      </c>
      <c r="C22" s="73"/>
      <c r="D22" s="74"/>
      <c r="E22" s="75"/>
      <c r="F22" s="76"/>
      <c r="G22" s="74"/>
      <c r="H22" s="75"/>
      <c r="I22" s="74" t="str">
        <f t="shared" si="1"/>
        <v>-</v>
      </c>
      <c r="J22" s="74"/>
      <c r="K22" s="49"/>
      <c r="AA22" s="67" t="str">
        <f t="shared" si="2"/>
        <v>F</v>
      </c>
      <c r="AB22" s="67" t="str">
        <f t="shared" si="3"/>
        <v>F</v>
      </c>
      <c r="AC22" s="67" t="str">
        <f t="shared" si="4"/>
        <v>F</v>
      </c>
      <c r="AD22" s="67" t="str">
        <f t="shared" si="5"/>
        <v>F</v>
      </c>
      <c r="AE22" s="67" t="str">
        <f t="shared" si="6"/>
        <v>F</v>
      </c>
      <c r="AF22" s="67" t="str">
        <f t="shared" si="7"/>
        <v>F</v>
      </c>
    </row>
    <row r="23" spans="1:32" ht="18" customHeight="1" x14ac:dyDescent="0.4">
      <c r="A23" s="41"/>
      <c r="B23" s="72" t="str">
        <f t="shared" si="0"/>
        <v>-</v>
      </c>
      <c r="C23" s="73"/>
      <c r="D23" s="74"/>
      <c r="E23" s="75"/>
      <c r="F23" s="76"/>
      <c r="G23" s="74"/>
      <c r="H23" s="75"/>
      <c r="I23" s="74" t="str">
        <f t="shared" si="1"/>
        <v>-</v>
      </c>
      <c r="J23" s="74"/>
      <c r="K23" s="50"/>
      <c r="AA23" s="67" t="str">
        <f t="shared" si="2"/>
        <v>F</v>
      </c>
      <c r="AB23" s="67" t="str">
        <f t="shared" si="3"/>
        <v>F</v>
      </c>
      <c r="AC23" s="67" t="str">
        <f t="shared" si="4"/>
        <v>F</v>
      </c>
      <c r="AD23" s="67" t="str">
        <f t="shared" si="5"/>
        <v>F</v>
      </c>
      <c r="AE23" s="67" t="str">
        <f t="shared" si="6"/>
        <v>F</v>
      </c>
      <c r="AF23" s="67" t="str">
        <f t="shared" si="7"/>
        <v>F</v>
      </c>
    </row>
    <row r="24" spans="1:32" ht="18" customHeight="1" x14ac:dyDescent="0.4">
      <c r="A24" s="41"/>
      <c r="B24" s="72" t="str">
        <f t="shared" ref="B24:B79" si="8">IF(C24 &lt;&gt;"",$C$5, "-")</f>
        <v>-</v>
      </c>
      <c r="C24" s="73"/>
      <c r="D24" s="74"/>
      <c r="E24" s="75"/>
      <c r="F24" s="76"/>
      <c r="G24" s="74"/>
      <c r="H24" s="75"/>
      <c r="I24" s="74" t="str">
        <f t="shared" ref="I24:I79" si="9">IF(C24 &lt;&gt;"",$F$6, "-")</f>
        <v>-</v>
      </c>
      <c r="J24" s="74"/>
      <c r="K24" s="50"/>
      <c r="AA24" s="67" t="str">
        <f t="shared" si="2"/>
        <v>F</v>
      </c>
      <c r="AB24" s="67" t="str">
        <f t="shared" si="3"/>
        <v>F</v>
      </c>
      <c r="AC24" s="67" t="str">
        <f t="shared" si="4"/>
        <v>F</v>
      </c>
      <c r="AD24" s="67" t="str">
        <f t="shared" si="5"/>
        <v>F</v>
      </c>
      <c r="AE24" s="67" t="str">
        <f t="shared" si="6"/>
        <v>F</v>
      </c>
      <c r="AF24" s="67" t="str">
        <f t="shared" si="7"/>
        <v>F</v>
      </c>
    </row>
    <row r="25" spans="1:32" ht="18" customHeight="1" x14ac:dyDescent="0.4">
      <c r="A25" s="41"/>
      <c r="B25" s="72" t="str">
        <f t="shared" si="8"/>
        <v>-</v>
      </c>
      <c r="C25" s="73"/>
      <c r="D25" s="74"/>
      <c r="E25" s="75"/>
      <c r="F25" s="76"/>
      <c r="G25" s="74"/>
      <c r="H25" s="75"/>
      <c r="I25" s="74" t="str">
        <f t="shared" si="9"/>
        <v>-</v>
      </c>
      <c r="J25" s="74"/>
      <c r="K25" s="49"/>
      <c r="AA25" s="67" t="str">
        <f t="shared" si="2"/>
        <v>F</v>
      </c>
      <c r="AB25" s="67" t="str">
        <f t="shared" si="3"/>
        <v>F</v>
      </c>
      <c r="AC25" s="67" t="str">
        <f t="shared" si="4"/>
        <v>F</v>
      </c>
      <c r="AD25" s="67" t="str">
        <f t="shared" si="5"/>
        <v>F</v>
      </c>
      <c r="AE25" s="67" t="str">
        <f t="shared" si="6"/>
        <v>F</v>
      </c>
      <c r="AF25" s="67" t="str">
        <f t="shared" si="7"/>
        <v>F</v>
      </c>
    </row>
    <row r="26" spans="1:32" ht="18" customHeight="1" x14ac:dyDescent="0.4">
      <c r="A26" s="41"/>
      <c r="B26" s="72" t="str">
        <f t="shared" si="8"/>
        <v>-</v>
      </c>
      <c r="C26" s="73"/>
      <c r="D26" s="74"/>
      <c r="E26" s="75"/>
      <c r="F26" s="76"/>
      <c r="G26" s="74"/>
      <c r="H26" s="75"/>
      <c r="I26" s="74" t="str">
        <f t="shared" si="9"/>
        <v>-</v>
      </c>
      <c r="J26" s="74"/>
      <c r="K26" s="49"/>
      <c r="AA26" s="67" t="str">
        <f t="shared" si="2"/>
        <v>F</v>
      </c>
      <c r="AB26" s="67" t="str">
        <f t="shared" si="3"/>
        <v>F</v>
      </c>
      <c r="AC26" s="67" t="str">
        <f t="shared" si="4"/>
        <v>F</v>
      </c>
      <c r="AD26" s="67" t="str">
        <f t="shared" si="5"/>
        <v>F</v>
      </c>
      <c r="AE26" s="67" t="str">
        <f t="shared" si="6"/>
        <v>F</v>
      </c>
      <c r="AF26" s="67" t="str">
        <f t="shared" si="7"/>
        <v>F</v>
      </c>
    </row>
    <row r="27" spans="1:32" ht="18" customHeight="1" x14ac:dyDescent="0.4">
      <c r="A27" s="41"/>
      <c r="B27" s="72" t="str">
        <f t="shared" si="8"/>
        <v>-</v>
      </c>
      <c r="C27" s="73"/>
      <c r="D27" s="74"/>
      <c r="E27" s="75"/>
      <c r="F27" s="76"/>
      <c r="G27" s="74"/>
      <c r="H27" s="75"/>
      <c r="I27" s="74" t="str">
        <f t="shared" si="9"/>
        <v>-</v>
      </c>
      <c r="J27" s="74"/>
      <c r="K27" s="49"/>
      <c r="AA27" s="67" t="str">
        <f t="shared" si="2"/>
        <v>F</v>
      </c>
      <c r="AB27" s="67" t="str">
        <f t="shared" si="3"/>
        <v>F</v>
      </c>
      <c r="AC27" s="67" t="str">
        <f t="shared" si="4"/>
        <v>F</v>
      </c>
      <c r="AD27" s="67" t="str">
        <f t="shared" si="5"/>
        <v>F</v>
      </c>
      <c r="AE27" s="67" t="str">
        <f t="shared" si="6"/>
        <v>F</v>
      </c>
      <c r="AF27" s="67" t="str">
        <f t="shared" si="7"/>
        <v>F</v>
      </c>
    </row>
    <row r="28" spans="1:32" ht="18" customHeight="1" x14ac:dyDescent="0.4">
      <c r="A28" s="41"/>
      <c r="B28" s="72" t="str">
        <f t="shared" si="8"/>
        <v>-</v>
      </c>
      <c r="C28" s="73"/>
      <c r="D28" s="74"/>
      <c r="E28" s="75"/>
      <c r="F28" s="76"/>
      <c r="G28" s="74"/>
      <c r="H28" s="75"/>
      <c r="I28" s="74" t="str">
        <f t="shared" si="9"/>
        <v>-</v>
      </c>
      <c r="J28" s="74"/>
      <c r="K28" s="49"/>
      <c r="AA28" s="67" t="str">
        <f t="shared" si="2"/>
        <v>F</v>
      </c>
      <c r="AB28" s="67" t="str">
        <f t="shared" si="3"/>
        <v>F</v>
      </c>
      <c r="AC28" s="67" t="str">
        <f t="shared" si="4"/>
        <v>F</v>
      </c>
      <c r="AD28" s="67" t="str">
        <f t="shared" si="5"/>
        <v>F</v>
      </c>
      <c r="AE28" s="67" t="str">
        <f t="shared" si="6"/>
        <v>F</v>
      </c>
      <c r="AF28" s="67" t="str">
        <f t="shared" si="7"/>
        <v>F</v>
      </c>
    </row>
    <row r="29" spans="1:32" ht="18" customHeight="1" x14ac:dyDescent="0.4">
      <c r="A29" s="41"/>
      <c r="B29" s="72" t="str">
        <f t="shared" si="8"/>
        <v>-</v>
      </c>
      <c r="C29" s="73"/>
      <c r="D29" s="74"/>
      <c r="E29" s="75"/>
      <c r="F29" s="76"/>
      <c r="G29" s="74"/>
      <c r="H29" s="75"/>
      <c r="I29" s="74" t="str">
        <f t="shared" si="9"/>
        <v>-</v>
      </c>
      <c r="J29" s="74"/>
      <c r="K29" s="49"/>
      <c r="AA29" s="67" t="str">
        <f t="shared" si="2"/>
        <v>F</v>
      </c>
      <c r="AB29" s="67" t="str">
        <f t="shared" si="3"/>
        <v>F</v>
      </c>
      <c r="AC29" s="67" t="str">
        <f t="shared" si="4"/>
        <v>F</v>
      </c>
      <c r="AD29" s="67" t="str">
        <f t="shared" si="5"/>
        <v>F</v>
      </c>
      <c r="AE29" s="67" t="str">
        <f t="shared" si="6"/>
        <v>F</v>
      </c>
      <c r="AF29" s="67" t="str">
        <f t="shared" si="7"/>
        <v>F</v>
      </c>
    </row>
    <row r="30" spans="1:32" ht="18" customHeight="1" x14ac:dyDescent="0.4">
      <c r="A30" s="41"/>
      <c r="B30" s="72" t="str">
        <f t="shared" si="8"/>
        <v>-</v>
      </c>
      <c r="C30" s="73"/>
      <c r="D30" s="74"/>
      <c r="E30" s="75"/>
      <c r="F30" s="76"/>
      <c r="G30" s="74"/>
      <c r="H30" s="75"/>
      <c r="I30" s="74" t="str">
        <f t="shared" si="9"/>
        <v>-</v>
      </c>
      <c r="J30" s="74"/>
      <c r="K30" s="49"/>
      <c r="AA30" s="67" t="str">
        <f t="shared" si="2"/>
        <v>F</v>
      </c>
      <c r="AB30" s="67" t="str">
        <f t="shared" si="3"/>
        <v>F</v>
      </c>
      <c r="AC30" s="67" t="str">
        <f t="shared" si="4"/>
        <v>F</v>
      </c>
      <c r="AD30" s="67" t="str">
        <f t="shared" si="5"/>
        <v>F</v>
      </c>
      <c r="AE30" s="67" t="str">
        <f t="shared" si="6"/>
        <v>F</v>
      </c>
      <c r="AF30" s="67" t="str">
        <f t="shared" si="7"/>
        <v>F</v>
      </c>
    </row>
    <row r="31" spans="1:32" ht="18" customHeight="1" x14ac:dyDescent="0.4">
      <c r="A31" s="41"/>
      <c r="B31" s="72" t="str">
        <f t="shared" si="8"/>
        <v>-</v>
      </c>
      <c r="C31" s="73"/>
      <c r="D31" s="74"/>
      <c r="E31" s="75"/>
      <c r="F31" s="76"/>
      <c r="G31" s="74"/>
      <c r="H31" s="75"/>
      <c r="I31" s="74" t="str">
        <f t="shared" si="9"/>
        <v>-</v>
      </c>
      <c r="J31" s="74"/>
      <c r="K31" s="49"/>
      <c r="AA31" s="67" t="str">
        <f t="shared" si="2"/>
        <v>F</v>
      </c>
      <c r="AB31" s="67" t="str">
        <f t="shared" si="3"/>
        <v>F</v>
      </c>
      <c r="AC31" s="67" t="str">
        <f t="shared" si="4"/>
        <v>F</v>
      </c>
      <c r="AD31" s="67" t="str">
        <f t="shared" si="5"/>
        <v>F</v>
      </c>
      <c r="AE31" s="67" t="str">
        <f t="shared" si="6"/>
        <v>F</v>
      </c>
      <c r="AF31" s="67" t="str">
        <f t="shared" si="7"/>
        <v>F</v>
      </c>
    </row>
    <row r="32" spans="1:32" ht="18" customHeight="1" x14ac:dyDescent="0.4">
      <c r="A32" s="41"/>
      <c r="B32" s="72" t="str">
        <f t="shared" si="8"/>
        <v>-</v>
      </c>
      <c r="C32" s="73"/>
      <c r="D32" s="74"/>
      <c r="E32" s="75"/>
      <c r="F32" s="76"/>
      <c r="G32" s="74"/>
      <c r="H32" s="75"/>
      <c r="I32" s="74" t="str">
        <f t="shared" si="9"/>
        <v>-</v>
      </c>
      <c r="J32" s="74"/>
      <c r="K32" s="49"/>
      <c r="AA32" s="67" t="str">
        <f t="shared" si="2"/>
        <v>F</v>
      </c>
      <c r="AB32" s="67" t="str">
        <f t="shared" si="3"/>
        <v>F</v>
      </c>
      <c r="AC32" s="67" t="str">
        <f t="shared" si="4"/>
        <v>F</v>
      </c>
      <c r="AD32" s="67" t="str">
        <f t="shared" si="5"/>
        <v>F</v>
      </c>
      <c r="AE32" s="67" t="str">
        <f t="shared" si="6"/>
        <v>F</v>
      </c>
      <c r="AF32" s="67" t="str">
        <f t="shared" si="7"/>
        <v>F</v>
      </c>
    </row>
    <row r="33" spans="1:32" ht="18" customHeight="1" x14ac:dyDescent="0.4">
      <c r="A33" s="41"/>
      <c r="B33" s="72" t="str">
        <f t="shared" si="8"/>
        <v>-</v>
      </c>
      <c r="C33" s="73"/>
      <c r="D33" s="74"/>
      <c r="E33" s="75"/>
      <c r="F33" s="76"/>
      <c r="G33" s="74"/>
      <c r="H33" s="75"/>
      <c r="I33" s="74" t="str">
        <f t="shared" si="9"/>
        <v>-</v>
      </c>
      <c r="J33" s="74"/>
      <c r="K33" s="49"/>
      <c r="AA33" s="67" t="str">
        <f t="shared" si="2"/>
        <v>F</v>
      </c>
      <c r="AB33" s="67" t="str">
        <f t="shared" si="3"/>
        <v>F</v>
      </c>
      <c r="AC33" s="67" t="str">
        <f t="shared" si="4"/>
        <v>F</v>
      </c>
      <c r="AD33" s="67" t="str">
        <f t="shared" si="5"/>
        <v>F</v>
      </c>
      <c r="AE33" s="67" t="str">
        <f t="shared" si="6"/>
        <v>F</v>
      </c>
      <c r="AF33" s="67" t="str">
        <f t="shared" si="7"/>
        <v>F</v>
      </c>
    </row>
    <row r="34" spans="1:32" ht="18" customHeight="1" x14ac:dyDescent="0.4">
      <c r="A34" s="41"/>
      <c r="B34" s="72" t="str">
        <f t="shared" si="8"/>
        <v>-</v>
      </c>
      <c r="C34" s="73"/>
      <c r="D34" s="74"/>
      <c r="E34" s="75"/>
      <c r="F34" s="76"/>
      <c r="G34" s="74"/>
      <c r="H34" s="75"/>
      <c r="I34" s="74" t="str">
        <f t="shared" si="9"/>
        <v>-</v>
      </c>
      <c r="J34" s="74"/>
      <c r="K34" s="49"/>
      <c r="AA34" s="67" t="str">
        <f t="shared" si="2"/>
        <v>F</v>
      </c>
      <c r="AB34" s="67" t="str">
        <f t="shared" si="3"/>
        <v>F</v>
      </c>
      <c r="AC34" s="67" t="str">
        <f t="shared" si="4"/>
        <v>F</v>
      </c>
      <c r="AD34" s="67" t="str">
        <f t="shared" si="5"/>
        <v>F</v>
      </c>
      <c r="AE34" s="67" t="str">
        <f t="shared" si="6"/>
        <v>F</v>
      </c>
      <c r="AF34" s="67" t="str">
        <f t="shared" si="7"/>
        <v>F</v>
      </c>
    </row>
    <row r="35" spans="1:32" ht="18" customHeight="1" x14ac:dyDescent="0.4">
      <c r="A35" s="41"/>
      <c r="B35" s="72" t="str">
        <f t="shared" si="8"/>
        <v>-</v>
      </c>
      <c r="C35" s="73"/>
      <c r="D35" s="74"/>
      <c r="E35" s="75"/>
      <c r="F35" s="76"/>
      <c r="G35" s="74"/>
      <c r="H35" s="75"/>
      <c r="I35" s="74" t="str">
        <f t="shared" si="9"/>
        <v>-</v>
      </c>
      <c r="J35" s="74"/>
      <c r="K35" s="49"/>
      <c r="AA35" s="67" t="str">
        <f t="shared" si="2"/>
        <v>F</v>
      </c>
      <c r="AB35" s="67" t="str">
        <f t="shared" si="3"/>
        <v>F</v>
      </c>
      <c r="AC35" s="67" t="str">
        <f t="shared" si="4"/>
        <v>F</v>
      </c>
      <c r="AD35" s="67" t="str">
        <f t="shared" si="5"/>
        <v>F</v>
      </c>
      <c r="AE35" s="67" t="str">
        <f t="shared" si="6"/>
        <v>F</v>
      </c>
      <c r="AF35" s="67" t="str">
        <f t="shared" si="7"/>
        <v>F</v>
      </c>
    </row>
    <row r="36" spans="1:32" ht="18" customHeight="1" x14ac:dyDescent="0.4">
      <c r="A36" s="41"/>
      <c r="B36" s="72" t="str">
        <f t="shared" si="8"/>
        <v>-</v>
      </c>
      <c r="C36" s="73"/>
      <c r="D36" s="74"/>
      <c r="E36" s="75"/>
      <c r="F36" s="76"/>
      <c r="G36" s="74"/>
      <c r="H36" s="75"/>
      <c r="I36" s="74" t="str">
        <f t="shared" si="9"/>
        <v>-</v>
      </c>
      <c r="J36" s="74"/>
      <c r="K36" s="49"/>
      <c r="AA36" s="67" t="str">
        <f t="shared" si="2"/>
        <v>F</v>
      </c>
      <c r="AB36" s="67" t="str">
        <f t="shared" si="3"/>
        <v>F</v>
      </c>
      <c r="AC36" s="67" t="str">
        <f t="shared" si="4"/>
        <v>F</v>
      </c>
      <c r="AD36" s="67" t="str">
        <f t="shared" si="5"/>
        <v>F</v>
      </c>
      <c r="AE36" s="67" t="str">
        <f t="shared" si="6"/>
        <v>F</v>
      </c>
      <c r="AF36" s="67" t="str">
        <f t="shared" si="7"/>
        <v>F</v>
      </c>
    </row>
    <row r="37" spans="1:32" ht="18" customHeight="1" x14ac:dyDescent="0.4">
      <c r="A37" s="41"/>
      <c r="B37" s="72" t="str">
        <f t="shared" si="8"/>
        <v>-</v>
      </c>
      <c r="C37" s="73"/>
      <c r="D37" s="74"/>
      <c r="E37" s="75"/>
      <c r="F37" s="76"/>
      <c r="G37" s="74"/>
      <c r="H37" s="75"/>
      <c r="I37" s="74" t="str">
        <f t="shared" si="9"/>
        <v>-</v>
      </c>
      <c r="J37" s="74"/>
      <c r="K37" s="49"/>
      <c r="AA37" s="67" t="str">
        <f t="shared" si="2"/>
        <v>F</v>
      </c>
      <c r="AB37" s="67" t="str">
        <f t="shared" si="3"/>
        <v>F</v>
      </c>
      <c r="AC37" s="67" t="str">
        <f t="shared" si="4"/>
        <v>F</v>
      </c>
      <c r="AD37" s="67" t="str">
        <f t="shared" si="5"/>
        <v>F</v>
      </c>
      <c r="AE37" s="67" t="str">
        <f t="shared" si="6"/>
        <v>F</v>
      </c>
      <c r="AF37" s="67" t="str">
        <f t="shared" si="7"/>
        <v>F</v>
      </c>
    </row>
    <row r="38" spans="1:32" ht="18" customHeight="1" x14ac:dyDescent="0.4">
      <c r="A38" s="41"/>
      <c r="B38" s="72" t="str">
        <f t="shared" si="8"/>
        <v>-</v>
      </c>
      <c r="C38" s="73"/>
      <c r="D38" s="74"/>
      <c r="E38" s="75"/>
      <c r="F38" s="76"/>
      <c r="G38" s="74"/>
      <c r="H38" s="75"/>
      <c r="I38" s="74" t="str">
        <f t="shared" si="9"/>
        <v>-</v>
      </c>
      <c r="J38" s="74"/>
      <c r="K38" s="49"/>
      <c r="AA38" s="67" t="str">
        <f t="shared" si="2"/>
        <v>F</v>
      </c>
      <c r="AB38" s="67" t="str">
        <f t="shared" si="3"/>
        <v>F</v>
      </c>
      <c r="AC38" s="67" t="str">
        <f t="shared" si="4"/>
        <v>F</v>
      </c>
      <c r="AD38" s="67" t="str">
        <f t="shared" si="5"/>
        <v>F</v>
      </c>
      <c r="AE38" s="67" t="str">
        <f t="shared" si="6"/>
        <v>F</v>
      </c>
      <c r="AF38" s="67" t="str">
        <f t="shared" si="7"/>
        <v>F</v>
      </c>
    </row>
    <row r="39" spans="1:32" ht="18" customHeight="1" x14ac:dyDescent="0.4">
      <c r="A39" s="41"/>
      <c r="B39" s="72" t="str">
        <f t="shared" si="8"/>
        <v>-</v>
      </c>
      <c r="C39" s="73"/>
      <c r="D39" s="74"/>
      <c r="E39" s="75"/>
      <c r="F39" s="76"/>
      <c r="G39" s="74"/>
      <c r="H39" s="75"/>
      <c r="I39" s="74" t="str">
        <f t="shared" si="9"/>
        <v>-</v>
      </c>
      <c r="J39" s="74"/>
      <c r="K39" s="49"/>
      <c r="AA39" s="67" t="str">
        <f t="shared" si="2"/>
        <v>F</v>
      </c>
      <c r="AB39" s="67" t="str">
        <f t="shared" si="3"/>
        <v>F</v>
      </c>
      <c r="AC39" s="67" t="str">
        <f t="shared" si="4"/>
        <v>F</v>
      </c>
      <c r="AD39" s="67" t="str">
        <f t="shared" si="5"/>
        <v>F</v>
      </c>
      <c r="AE39" s="67" t="str">
        <f t="shared" si="6"/>
        <v>F</v>
      </c>
      <c r="AF39" s="67" t="str">
        <f t="shared" si="7"/>
        <v>F</v>
      </c>
    </row>
    <row r="40" spans="1:32" ht="18" customHeight="1" x14ac:dyDescent="0.4">
      <c r="A40" s="41"/>
      <c r="B40" s="72" t="str">
        <f t="shared" si="8"/>
        <v>-</v>
      </c>
      <c r="C40" s="73"/>
      <c r="D40" s="74"/>
      <c r="E40" s="75"/>
      <c r="F40" s="76"/>
      <c r="G40" s="74"/>
      <c r="H40" s="75"/>
      <c r="I40" s="74" t="str">
        <f t="shared" si="9"/>
        <v>-</v>
      </c>
      <c r="J40" s="74"/>
      <c r="K40" s="49"/>
      <c r="AA40" s="67" t="str">
        <f t="shared" si="2"/>
        <v>F</v>
      </c>
      <c r="AB40" s="67" t="str">
        <f t="shared" si="3"/>
        <v>F</v>
      </c>
      <c r="AC40" s="67" t="str">
        <f t="shared" si="4"/>
        <v>F</v>
      </c>
      <c r="AD40" s="67" t="str">
        <f t="shared" si="5"/>
        <v>F</v>
      </c>
      <c r="AE40" s="67" t="str">
        <f t="shared" si="6"/>
        <v>F</v>
      </c>
      <c r="AF40" s="67" t="str">
        <f t="shared" si="7"/>
        <v>F</v>
      </c>
    </row>
    <row r="41" spans="1:32" ht="18" customHeight="1" x14ac:dyDescent="0.4">
      <c r="A41" s="41"/>
      <c r="B41" s="72" t="str">
        <f t="shared" si="8"/>
        <v>-</v>
      </c>
      <c r="C41" s="73"/>
      <c r="D41" s="74"/>
      <c r="E41" s="75"/>
      <c r="F41" s="76"/>
      <c r="G41" s="74"/>
      <c r="H41" s="75"/>
      <c r="I41" s="74" t="str">
        <f t="shared" si="9"/>
        <v>-</v>
      </c>
      <c r="J41" s="74"/>
      <c r="K41" s="49"/>
      <c r="AA41" s="67" t="str">
        <f t="shared" si="2"/>
        <v>F</v>
      </c>
      <c r="AB41" s="67" t="str">
        <f t="shared" si="3"/>
        <v>F</v>
      </c>
      <c r="AC41" s="67" t="str">
        <f t="shared" si="4"/>
        <v>F</v>
      </c>
      <c r="AD41" s="67" t="str">
        <f t="shared" si="5"/>
        <v>F</v>
      </c>
      <c r="AE41" s="67" t="str">
        <f t="shared" si="6"/>
        <v>F</v>
      </c>
      <c r="AF41" s="67" t="str">
        <f t="shared" si="7"/>
        <v>F</v>
      </c>
    </row>
    <row r="42" spans="1:32" ht="18" customHeight="1" x14ac:dyDescent="0.4">
      <c r="A42" s="41"/>
      <c r="B42" s="72" t="str">
        <f t="shared" si="8"/>
        <v>-</v>
      </c>
      <c r="C42" s="73"/>
      <c r="D42" s="74"/>
      <c r="E42" s="75"/>
      <c r="F42" s="76"/>
      <c r="G42" s="74"/>
      <c r="H42" s="75"/>
      <c r="I42" s="74" t="str">
        <f t="shared" si="9"/>
        <v>-</v>
      </c>
      <c r="J42" s="74"/>
      <c r="K42" s="49"/>
      <c r="AA42" s="67" t="str">
        <f t="shared" si="2"/>
        <v>F</v>
      </c>
      <c r="AB42" s="67" t="str">
        <f t="shared" si="3"/>
        <v>F</v>
      </c>
      <c r="AC42" s="67" t="str">
        <f t="shared" si="4"/>
        <v>F</v>
      </c>
      <c r="AD42" s="67" t="str">
        <f t="shared" si="5"/>
        <v>F</v>
      </c>
      <c r="AE42" s="67" t="str">
        <f t="shared" si="6"/>
        <v>F</v>
      </c>
      <c r="AF42" s="67" t="str">
        <f t="shared" si="7"/>
        <v>F</v>
      </c>
    </row>
    <row r="43" spans="1:32" ht="18" customHeight="1" x14ac:dyDescent="0.4">
      <c r="A43" s="41"/>
      <c r="B43" s="72" t="str">
        <f t="shared" si="8"/>
        <v>-</v>
      </c>
      <c r="C43" s="73"/>
      <c r="D43" s="74"/>
      <c r="E43" s="75"/>
      <c r="F43" s="76"/>
      <c r="G43" s="74"/>
      <c r="H43" s="75"/>
      <c r="I43" s="74" t="str">
        <f t="shared" si="9"/>
        <v>-</v>
      </c>
      <c r="J43" s="74"/>
      <c r="K43" s="49"/>
      <c r="AA43" s="67" t="str">
        <f t="shared" si="2"/>
        <v>F</v>
      </c>
      <c r="AB43" s="67" t="str">
        <f t="shared" si="3"/>
        <v>F</v>
      </c>
      <c r="AC43" s="67" t="str">
        <f t="shared" si="4"/>
        <v>F</v>
      </c>
      <c r="AD43" s="67" t="str">
        <f t="shared" si="5"/>
        <v>F</v>
      </c>
      <c r="AE43" s="67" t="str">
        <f t="shared" si="6"/>
        <v>F</v>
      </c>
      <c r="AF43" s="67" t="str">
        <f t="shared" si="7"/>
        <v>F</v>
      </c>
    </row>
    <row r="44" spans="1:32" ht="18" customHeight="1" x14ac:dyDescent="0.4">
      <c r="A44" s="41"/>
      <c r="B44" s="72" t="str">
        <f t="shared" si="8"/>
        <v>-</v>
      </c>
      <c r="C44" s="73"/>
      <c r="D44" s="74"/>
      <c r="E44" s="75"/>
      <c r="F44" s="76"/>
      <c r="G44" s="74"/>
      <c r="H44" s="75"/>
      <c r="I44" s="74" t="str">
        <f t="shared" si="9"/>
        <v>-</v>
      </c>
      <c r="J44" s="74"/>
      <c r="K44" s="49"/>
      <c r="AA44" s="67" t="str">
        <f t="shared" si="2"/>
        <v>F</v>
      </c>
      <c r="AB44" s="67" t="str">
        <f t="shared" si="3"/>
        <v>F</v>
      </c>
      <c r="AC44" s="67" t="str">
        <f t="shared" si="4"/>
        <v>F</v>
      </c>
      <c r="AD44" s="67" t="str">
        <f t="shared" si="5"/>
        <v>F</v>
      </c>
      <c r="AE44" s="67" t="str">
        <f t="shared" si="6"/>
        <v>F</v>
      </c>
      <c r="AF44" s="67" t="str">
        <f t="shared" si="7"/>
        <v>F</v>
      </c>
    </row>
    <row r="45" spans="1:32" ht="18" customHeight="1" x14ac:dyDescent="0.4">
      <c r="A45" s="41"/>
      <c r="B45" s="72" t="str">
        <f t="shared" si="8"/>
        <v>-</v>
      </c>
      <c r="C45" s="73"/>
      <c r="D45" s="74"/>
      <c r="E45" s="75"/>
      <c r="F45" s="76"/>
      <c r="G45" s="74"/>
      <c r="H45" s="75"/>
      <c r="I45" s="74" t="str">
        <f t="shared" si="9"/>
        <v>-</v>
      </c>
      <c r="J45" s="74"/>
      <c r="K45" s="49"/>
      <c r="AA45" s="67" t="str">
        <f t="shared" si="2"/>
        <v>F</v>
      </c>
      <c r="AB45" s="67" t="str">
        <f t="shared" si="3"/>
        <v>F</v>
      </c>
      <c r="AC45" s="67" t="str">
        <f t="shared" si="4"/>
        <v>F</v>
      </c>
      <c r="AD45" s="67" t="str">
        <f t="shared" si="5"/>
        <v>F</v>
      </c>
      <c r="AE45" s="67" t="str">
        <f t="shared" si="6"/>
        <v>F</v>
      </c>
      <c r="AF45" s="67" t="str">
        <f t="shared" si="7"/>
        <v>F</v>
      </c>
    </row>
    <row r="46" spans="1:32" ht="18" customHeight="1" x14ac:dyDescent="0.4">
      <c r="A46" s="41"/>
      <c r="B46" s="72" t="str">
        <f t="shared" si="8"/>
        <v>-</v>
      </c>
      <c r="C46" s="73"/>
      <c r="D46" s="74"/>
      <c r="E46" s="75"/>
      <c r="F46" s="76"/>
      <c r="G46" s="74"/>
      <c r="H46" s="75"/>
      <c r="I46" s="74" t="str">
        <f t="shared" si="9"/>
        <v>-</v>
      </c>
      <c r="J46" s="74"/>
      <c r="K46" s="49"/>
      <c r="AA46" s="67" t="str">
        <f t="shared" si="2"/>
        <v>F</v>
      </c>
      <c r="AB46" s="67" t="str">
        <f t="shared" si="3"/>
        <v>F</v>
      </c>
      <c r="AC46" s="67" t="str">
        <f t="shared" si="4"/>
        <v>F</v>
      </c>
      <c r="AD46" s="67" t="str">
        <f t="shared" si="5"/>
        <v>F</v>
      </c>
      <c r="AE46" s="67" t="str">
        <f t="shared" si="6"/>
        <v>F</v>
      </c>
      <c r="AF46" s="67" t="str">
        <f t="shared" si="7"/>
        <v>F</v>
      </c>
    </row>
    <row r="47" spans="1:32" ht="18" customHeight="1" x14ac:dyDescent="0.4">
      <c r="A47" s="41"/>
      <c r="B47" s="72" t="str">
        <f t="shared" si="8"/>
        <v>-</v>
      </c>
      <c r="C47" s="73"/>
      <c r="D47" s="74"/>
      <c r="E47" s="75"/>
      <c r="F47" s="76"/>
      <c r="G47" s="74"/>
      <c r="H47" s="75"/>
      <c r="I47" s="74" t="str">
        <f t="shared" si="9"/>
        <v>-</v>
      </c>
      <c r="J47" s="74"/>
      <c r="K47" s="49"/>
      <c r="AA47" s="67" t="str">
        <f t="shared" si="2"/>
        <v>F</v>
      </c>
      <c r="AB47" s="67" t="str">
        <f t="shared" si="3"/>
        <v>F</v>
      </c>
      <c r="AC47" s="67" t="str">
        <f t="shared" si="4"/>
        <v>F</v>
      </c>
      <c r="AD47" s="67" t="str">
        <f t="shared" si="5"/>
        <v>F</v>
      </c>
      <c r="AE47" s="67" t="str">
        <f t="shared" si="6"/>
        <v>F</v>
      </c>
      <c r="AF47" s="67" t="str">
        <f t="shared" si="7"/>
        <v>F</v>
      </c>
    </row>
    <row r="48" spans="1:32" ht="18" customHeight="1" x14ac:dyDescent="0.4">
      <c r="A48" s="41"/>
      <c r="B48" s="72" t="str">
        <f t="shared" si="8"/>
        <v>-</v>
      </c>
      <c r="C48" s="73"/>
      <c r="D48" s="74"/>
      <c r="E48" s="75"/>
      <c r="F48" s="76"/>
      <c r="G48" s="74"/>
      <c r="H48" s="75"/>
      <c r="I48" s="74" t="str">
        <f t="shared" si="9"/>
        <v>-</v>
      </c>
      <c r="J48" s="74"/>
      <c r="K48" s="49"/>
      <c r="AA48" s="67" t="str">
        <f t="shared" si="2"/>
        <v>F</v>
      </c>
      <c r="AB48" s="67" t="str">
        <f t="shared" si="3"/>
        <v>F</v>
      </c>
      <c r="AC48" s="67" t="str">
        <f t="shared" si="4"/>
        <v>F</v>
      </c>
      <c r="AD48" s="67" t="str">
        <f t="shared" si="5"/>
        <v>F</v>
      </c>
      <c r="AE48" s="67" t="str">
        <f t="shared" si="6"/>
        <v>F</v>
      </c>
      <c r="AF48" s="67" t="str">
        <f t="shared" si="7"/>
        <v>F</v>
      </c>
    </row>
    <row r="49" spans="1:32" ht="18" customHeight="1" x14ac:dyDescent="0.4">
      <c r="A49" s="41"/>
      <c r="B49" s="72" t="str">
        <f t="shared" si="8"/>
        <v>-</v>
      </c>
      <c r="C49" s="73"/>
      <c r="D49" s="74"/>
      <c r="E49" s="75"/>
      <c r="F49" s="76"/>
      <c r="G49" s="74"/>
      <c r="H49" s="75"/>
      <c r="I49" s="74" t="str">
        <f t="shared" si="9"/>
        <v>-</v>
      </c>
      <c r="J49" s="74"/>
      <c r="K49" s="49"/>
      <c r="AA49" s="67" t="str">
        <f t="shared" si="2"/>
        <v>F</v>
      </c>
      <c r="AB49" s="67" t="str">
        <f t="shared" si="3"/>
        <v>F</v>
      </c>
      <c r="AC49" s="67" t="str">
        <f t="shared" si="4"/>
        <v>F</v>
      </c>
      <c r="AD49" s="67" t="str">
        <f t="shared" si="5"/>
        <v>F</v>
      </c>
      <c r="AE49" s="67" t="str">
        <f t="shared" si="6"/>
        <v>F</v>
      </c>
      <c r="AF49" s="67" t="str">
        <f t="shared" si="7"/>
        <v>F</v>
      </c>
    </row>
    <row r="50" spans="1:32" ht="18" customHeight="1" x14ac:dyDescent="0.4">
      <c r="A50" s="41"/>
      <c r="B50" s="72" t="str">
        <f t="shared" si="8"/>
        <v>-</v>
      </c>
      <c r="C50" s="73"/>
      <c r="D50" s="74"/>
      <c r="E50" s="75"/>
      <c r="F50" s="76"/>
      <c r="G50" s="74"/>
      <c r="H50" s="75"/>
      <c r="I50" s="74" t="str">
        <f t="shared" si="9"/>
        <v>-</v>
      </c>
      <c r="J50" s="74"/>
      <c r="K50" s="49"/>
      <c r="AA50" s="67" t="str">
        <f t="shared" si="2"/>
        <v>F</v>
      </c>
      <c r="AB50" s="67" t="str">
        <f t="shared" si="3"/>
        <v>F</v>
      </c>
      <c r="AC50" s="67" t="str">
        <f t="shared" si="4"/>
        <v>F</v>
      </c>
      <c r="AD50" s="67" t="str">
        <f t="shared" si="5"/>
        <v>F</v>
      </c>
      <c r="AE50" s="67" t="str">
        <f t="shared" si="6"/>
        <v>F</v>
      </c>
      <c r="AF50" s="67" t="str">
        <f t="shared" si="7"/>
        <v>F</v>
      </c>
    </row>
    <row r="51" spans="1:32" ht="18" customHeight="1" x14ac:dyDescent="0.4">
      <c r="A51" s="41"/>
      <c r="B51" s="72" t="str">
        <f t="shared" si="8"/>
        <v>-</v>
      </c>
      <c r="C51" s="73"/>
      <c r="D51" s="74"/>
      <c r="E51" s="75"/>
      <c r="F51" s="76"/>
      <c r="G51" s="74"/>
      <c r="H51" s="75"/>
      <c r="I51" s="74" t="str">
        <f t="shared" si="9"/>
        <v>-</v>
      </c>
      <c r="J51" s="74"/>
      <c r="K51" s="49"/>
      <c r="AA51" s="67" t="str">
        <f t="shared" si="2"/>
        <v>F</v>
      </c>
      <c r="AB51" s="67" t="str">
        <f t="shared" si="3"/>
        <v>F</v>
      </c>
      <c r="AC51" s="67" t="str">
        <f t="shared" si="4"/>
        <v>F</v>
      </c>
      <c r="AD51" s="67" t="str">
        <f t="shared" si="5"/>
        <v>F</v>
      </c>
      <c r="AE51" s="67" t="str">
        <f t="shared" si="6"/>
        <v>F</v>
      </c>
      <c r="AF51" s="67" t="str">
        <f t="shared" si="7"/>
        <v>F</v>
      </c>
    </row>
    <row r="52" spans="1:32" ht="18" customHeight="1" x14ac:dyDescent="0.4">
      <c r="A52" s="41"/>
      <c r="B52" s="72" t="str">
        <f t="shared" si="8"/>
        <v>-</v>
      </c>
      <c r="C52" s="73"/>
      <c r="D52" s="74"/>
      <c r="E52" s="75"/>
      <c r="F52" s="76"/>
      <c r="G52" s="74"/>
      <c r="H52" s="75"/>
      <c r="I52" s="74" t="str">
        <f t="shared" si="9"/>
        <v>-</v>
      </c>
      <c r="J52" s="74"/>
      <c r="K52" s="49"/>
      <c r="AA52" s="67" t="str">
        <f t="shared" si="2"/>
        <v>F</v>
      </c>
      <c r="AB52" s="67" t="str">
        <f t="shared" si="3"/>
        <v>F</v>
      </c>
      <c r="AC52" s="67" t="str">
        <f t="shared" si="4"/>
        <v>F</v>
      </c>
      <c r="AD52" s="67" t="str">
        <f t="shared" si="5"/>
        <v>F</v>
      </c>
      <c r="AE52" s="67" t="str">
        <f t="shared" si="6"/>
        <v>F</v>
      </c>
      <c r="AF52" s="67" t="str">
        <f t="shared" si="7"/>
        <v>F</v>
      </c>
    </row>
    <row r="53" spans="1:32" ht="18" customHeight="1" x14ac:dyDescent="0.4">
      <c r="A53" s="41"/>
      <c r="B53" s="72" t="str">
        <f t="shared" si="8"/>
        <v>-</v>
      </c>
      <c r="C53" s="73"/>
      <c r="D53" s="74"/>
      <c r="E53" s="75"/>
      <c r="F53" s="76"/>
      <c r="G53" s="74"/>
      <c r="H53" s="75"/>
      <c r="I53" s="74" t="str">
        <f t="shared" si="9"/>
        <v>-</v>
      </c>
      <c r="J53" s="74"/>
      <c r="K53" s="49"/>
      <c r="AA53" s="67" t="str">
        <f t="shared" si="2"/>
        <v>F</v>
      </c>
      <c r="AB53" s="67" t="str">
        <f t="shared" si="3"/>
        <v>F</v>
      </c>
      <c r="AC53" s="67" t="str">
        <f t="shared" si="4"/>
        <v>F</v>
      </c>
      <c r="AD53" s="67" t="str">
        <f t="shared" si="5"/>
        <v>F</v>
      </c>
      <c r="AE53" s="67" t="str">
        <f t="shared" si="6"/>
        <v>F</v>
      </c>
      <c r="AF53" s="67" t="str">
        <f t="shared" si="7"/>
        <v>F</v>
      </c>
    </row>
    <row r="54" spans="1:32" ht="18" customHeight="1" x14ac:dyDescent="0.4">
      <c r="A54" s="41"/>
      <c r="B54" s="72" t="str">
        <f t="shared" si="8"/>
        <v>-</v>
      </c>
      <c r="C54" s="73"/>
      <c r="D54" s="74"/>
      <c r="E54" s="75"/>
      <c r="F54" s="76"/>
      <c r="G54" s="74"/>
      <c r="H54" s="75"/>
      <c r="I54" s="74" t="str">
        <f t="shared" si="9"/>
        <v>-</v>
      </c>
      <c r="J54" s="74"/>
      <c r="K54" s="49"/>
      <c r="AA54" s="67" t="str">
        <f t="shared" si="2"/>
        <v>F</v>
      </c>
      <c r="AB54" s="67" t="str">
        <f t="shared" si="3"/>
        <v>F</v>
      </c>
      <c r="AC54" s="67" t="str">
        <f t="shared" si="4"/>
        <v>F</v>
      </c>
      <c r="AD54" s="67" t="str">
        <f t="shared" si="5"/>
        <v>F</v>
      </c>
      <c r="AE54" s="67" t="str">
        <f t="shared" si="6"/>
        <v>F</v>
      </c>
      <c r="AF54" s="67" t="str">
        <f t="shared" si="7"/>
        <v>F</v>
      </c>
    </row>
    <row r="55" spans="1:32" ht="18" customHeight="1" x14ac:dyDescent="0.4">
      <c r="A55" s="41"/>
      <c r="B55" s="72" t="str">
        <f t="shared" si="8"/>
        <v>-</v>
      </c>
      <c r="C55" s="73"/>
      <c r="D55" s="74"/>
      <c r="E55" s="75"/>
      <c r="F55" s="76"/>
      <c r="G55" s="74"/>
      <c r="H55" s="75"/>
      <c r="I55" s="74" t="str">
        <f t="shared" si="9"/>
        <v>-</v>
      </c>
      <c r="J55" s="74"/>
      <c r="K55" s="49"/>
      <c r="AA55" s="67" t="str">
        <f t="shared" si="2"/>
        <v>F</v>
      </c>
      <c r="AB55" s="67" t="str">
        <f t="shared" si="3"/>
        <v>F</v>
      </c>
      <c r="AC55" s="67" t="str">
        <f t="shared" si="4"/>
        <v>F</v>
      </c>
      <c r="AD55" s="67" t="str">
        <f t="shared" si="5"/>
        <v>F</v>
      </c>
      <c r="AE55" s="67" t="str">
        <f t="shared" si="6"/>
        <v>F</v>
      </c>
      <c r="AF55" s="67" t="str">
        <f t="shared" si="7"/>
        <v>F</v>
      </c>
    </row>
    <row r="56" spans="1:32" ht="18" customHeight="1" x14ac:dyDescent="0.4">
      <c r="A56" s="41"/>
      <c r="B56" s="72" t="str">
        <f t="shared" si="8"/>
        <v>-</v>
      </c>
      <c r="C56" s="73"/>
      <c r="D56" s="74"/>
      <c r="E56" s="75"/>
      <c r="F56" s="76"/>
      <c r="G56" s="74"/>
      <c r="H56" s="75"/>
      <c r="I56" s="74" t="str">
        <f t="shared" si="9"/>
        <v>-</v>
      </c>
      <c r="J56" s="74"/>
      <c r="K56" s="49"/>
      <c r="AA56" s="67" t="str">
        <f t="shared" si="2"/>
        <v>F</v>
      </c>
      <c r="AB56" s="67" t="str">
        <f t="shared" si="3"/>
        <v>F</v>
      </c>
      <c r="AC56" s="67" t="str">
        <f t="shared" si="4"/>
        <v>F</v>
      </c>
      <c r="AD56" s="67" t="str">
        <f t="shared" si="5"/>
        <v>F</v>
      </c>
      <c r="AE56" s="67" t="str">
        <f t="shared" si="6"/>
        <v>F</v>
      </c>
      <c r="AF56" s="67" t="str">
        <f t="shared" si="7"/>
        <v>F</v>
      </c>
    </row>
    <row r="57" spans="1:32" ht="18" customHeight="1" x14ac:dyDescent="0.4">
      <c r="A57" s="41"/>
      <c r="B57" s="72" t="str">
        <f t="shared" si="8"/>
        <v>-</v>
      </c>
      <c r="C57" s="73"/>
      <c r="D57" s="74"/>
      <c r="E57" s="75"/>
      <c r="F57" s="76"/>
      <c r="G57" s="74"/>
      <c r="H57" s="75"/>
      <c r="I57" s="74" t="str">
        <f t="shared" si="9"/>
        <v>-</v>
      </c>
      <c r="J57" s="74"/>
      <c r="K57" s="49"/>
      <c r="AA57" s="67" t="str">
        <f t="shared" si="2"/>
        <v>F</v>
      </c>
      <c r="AB57" s="67" t="str">
        <f t="shared" si="3"/>
        <v>F</v>
      </c>
      <c r="AC57" s="67" t="str">
        <f t="shared" si="4"/>
        <v>F</v>
      </c>
      <c r="AD57" s="67" t="str">
        <f t="shared" si="5"/>
        <v>F</v>
      </c>
      <c r="AE57" s="67" t="str">
        <f t="shared" si="6"/>
        <v>F</v>
      </c>
      <c r="AF57" s="67" t="str">
        <f t="shared" si="7"/>
        <v>F</v>
      </c>
    </row>
    <row r="58" spans="1:32" ht="18" customHeight="1" x14ac:dyDescent="0.4">
      <c r="A58" s="41"/>
      <c r="B58" s="72" t="str">
        <f t="shared" si="8"/>
        <v>-</v>
      </c>
      <c r="C58" s="73"/>
      <c r="D58" s="74"/>
      <c r="E58" s="75"/>
      <c r="F58" s="76"/>
      <c r="G58" s="74"/>
      <c r="H58" s="75"/>
      <c r="I58" s="74" t="str">
        <f t="shared" si="9"/>
        <v>-</v>
      </c>
      <c r="J58" s="74"/>
      <c r="K58" s="49"/>
      <c r="AA58" s="67" t="str">
        <f t="shared" si="2"/>
        <v>F</v>
      </c>
      <c r="AB58" s="67" t="str">
        <f t="shared" si="3"/>
        <v>F</v>
      </c>
      <c r="AC58" s="67" t="str">
        <f t="shared" si="4"/>
        <v>F</v>
      </c>
      <c r="AD58" s="67" t="str">
        <f t="shared" si="5"/>
        <v>F</v>
      </c>
      <c r="AE58" s="67" t="str">
        <f t="shared" si="6"/>
        <v>F</v>
      </c>
      <c r="AF58" s="67" t="str">
        <f t="shared" si="7"/>
        <v>F</v>
      </c>
    </row>
    <row r="59" spans="1:32" ht="18" customHeight="1" x14ac:dyDescent="0.4">
      <c r="A59" s="41"/>
      <c r="B59" s="72" t="str">
        <f t="shared" si="8"/>
        <v>-</v>
      </c>
      <c r="C59" s="73"/>
      <c r="D59" s="74"/>
      <c r="E59" s="75"/>
      <c r="F59" s="76"/>
      <c r="G59" s="74"/>
      <c r="H59" s="75"/>
      <c r="I59" s="74" t="str">
        <f t="shared" si="9"/>
        <v>-</v>
      </c>
      <c r="J59" s="74"/>
      <c r="K59" s="49"/>
      <c r="AA59" s="67" t="str">
        <f t="shared" si="2"/>
        <v>F</v>
      </c>
      <c r="AB59" s="67" t="str">
        <f t="shared" si="3"/>
        <v>F</v>
      </c>
      <c r="AC59" s="67" t="str">
        <f t="shared" si="4"/>
        <v>F</v>
      </c>
      <c r="AD59" s="67" t="str">
        <f t="shared" si="5"/>
        <v>F</v>
      </c>
      <c r="AE59" s="67" t="str">
        <f t="shared" si="6"/>
        <v>F</v>
      </c>
      <c r="AF59" s="67" t="str">
        <f t="shared" si="7"/>
        <v>F</v>
      </c>
    </row>
    <row r="60" spans="1:32" ht="18" customHeight="1" x14ac:dyDescent="0.4">
      <c r="A60" s="41"/>
      <c r="B60" s="72" t="str">
        <f t="shared" si="8"/>
        <v>-</v>
      </c>
      <c r="C60" s="73"/>
      <c r="D60" s="74"/>
      <c r="E60" s="75"/>
      <c r="F60" s="76"/>
      <c r="G60" s="74"/>
      <c r="H60" s="75"/>
      <c r="I60" s="74" t="str">
        <f t="shared" si="9"/>
        <v>-</v>
      </c>
      <c r="J60" s="74"/>
      <c r="K60" s="49"/>
      <c r="AA60" s="67" t="str">
        <f t="shared" si="2"/>
        <v>F</v>
      </c>
      <c r="AB60" s="67" t="str">
        <f t="shared" si="3"/>
        <v>F</v>
      </c>
      <c r="AC60" s="67" t="str">
        <f t="shared" si="4"/>
        <v>F</v>
      </c>
      <c r="AD60" s="67" t="str">
        <f t="shared" si="5"/>
        <v>F</v>
      </c>
      <c r="AE60" s="67" t="str">
        <f t="shared" si="6"/>
        <v>F</v>
      </c>
      <c r="AF60" s="67" t="str">
        <f t="shared" si="7"/>
        <v>F</v>
      </c>
    </row>
    <row r="61" spans="1:32" ht="18" customHeight="1" x14ac:dyDescent="0.4">
      <c r="A61" s="41"/>
      <c r="B61" s="72" t="str">
        <f t="shared" si="8"/>
        <v>-</v>
      </c>
      <c r="C61" s="73"/>
      <c r="D61" s="74"/>
      <c r="E61" s="75"/>
      <c r="F61" s="76"/>
      <c r="G61" s="74"/>
      <c r="H61" s="75"/>
      <c r="I61" s="74" t="str">
        <f t="shared" si="9"/>
        <v>-</v>
      </c>
      <c r="J61" s="74"/>
      <c r="K61" s="49"/>
      <c r="AA61" s="67" t="str">
        <f t="shared" si="2"/>
        <v>F</v>
      </c>
      <c r="AB61" s="67" t="str">
        <f t="shared" si="3"/>
        <v>F</v>
      </c>
      <c r="AC61" s="67" t="str">
        <f t="shared" si="4"/>
        <v>F</v>
      </c>
      <c r="AD61" s="67" t="str">
        <f t="shared" si="5"/>
        <v>F</v>
      </c>
      <c r="AE61" s="67" t="str">
        <f t="shared" si="6"/>
        <v>F</v>
      </c>
      <c r="AF61" s="67" t="str">
        <f t="shared" si="7"/>
        <v>F</v>
      </c>
    </row>
    <row r="62" spans="1:32" ht="18" customHeight="1" x14ac:dyDescent="0.4">
      <c r="A62" s="41"/>
      <c r="B62" s="72" t="str">
        <f t="shared" si="8"/>
        <v>-</v>
      </c>
      <c r="C62" s="73"/>
      <c r="D62" s="74"/>
      <c r="E62" s="75"/>
      <c r="F62" s="76"/>
      <c r="G62" s="74"/>
      <c r="H62" s="75"/>
      <c r="I62" s="74" t="str">
        <f t="shared" si="9"/>
        <v>-</v>
      </c>
      <c r="J62" s="74"/>
      <c r="K62" s="49"/>
      <c r="AA62" s="67" t="str">
        <f t="shared" si="2"/>
        <v>F</v>
      </c>
      <c r="AB62" s="67" t="str">
        <f t="shared" si="3"/>
        <v>F</v>
      </c>
      <c r="AC62" s="67" t="str">
        <f t="shared" si="4"/>
        <v>F</v>
      </c>
      <c r="AD62" s="67" t="str">
        <f t="shared" si="5"/>
        <v>F</v>
      </c>
      <c r="AE62" s="67" t="str">
        <f t="shared" si="6"/>
        <v>F</v>
      </c>
      <c r="AF62" s="67" t="str">
        <f t="shared" si="7"/>
        <v>F</v>
      </c>
    </row>
    <row r="63" spans="1:32" ht="18" customHeight="1" x14ac:dyDescent="0.4">
      <c r="A63" s="41"/>
      <c r="B63" s="72" t="str">
        <f t="shared" si="8"/>
        <v>-</v>
      </c>
      <c r="C63" s="73"/>
      <c r="D63" s="74"/>
      <c r="E63" s="75"/>
      <c r="F63" s="76"/>
      <c r="G63" s="74"/>
      <c r="H63" s="75"/>
      <c r="I63" s="74" t="str">
        <f t="shared" si="9"/>
        <v>-</v>
      </c>
      <c r="J63" s="74"/>
      <c r="K63" s="49"/>
      <c r="AA63" s="67" t="str">
        <f t="shared" si="2"/>
        <v>F</v>
      </c>
      <c r="AB63" s="67" t="str">
        <f t="shared" si="3"/>
        <v>F</v>
      </c>
      <c r="AC63" s="67" t="str">
        <f t="shared" si="4"/>
        <v>F</v>
      </c>
      <c r="AD63" s="67" t="str">
        <f t="shared" si="5"/>
        <v>F</v>
      </c>
      <c r="AE63" s="67" t="str">
        <f t="shared" si="6"/>
        <v>F</v>
      </c>
      <c r="AF63" s="67" t="str">
        <f t="shared" si="7"/>
        <v>F</v>
      </c>
    </row>
    <row r="64" spans="1:32" ht="18" customHeight="1" x14ac:dyDescent="0.4">
      <c r="A64" s="41"/>
      <c r="B64" s="72" t="str">
        <f t="shared" si="8"/>
        <v>-</v>
      </c>
      <c r="C64" s="73"/>
      <c r="D64" s="74"/>
      <c r="E64" s="75"/>
      <c r="F64" s="76"/>
      <c r="G64" s="74"/>
      <c r="H64" s="75"/>
      <c r="I64" s="74" t="str">
        <f t="shared" si="9"/>
        <v>-</v>
      </c>
      <c r="J64" s="74"/>
      <c r="K64" s="49"/>
      <c r="AA64" s="67" t="str">
        <f t="shared" si="2"/>
        <v>F</v>
      </c>
      <c r="AB64" s="67" t="str">
        <f t="shared" si="3"/>
        <v>F</v>
      </c>
      <c r="AC64" s="67" t="str">
        <f t="shared" si="4"/>
        <v>F</v>
      </c>
      <c r="AD64" s="67" t="str">
        <f t="shared" si="5"/>
        <v>F</v>
      </c>
      <c r="AE64" s="67" t="str">
        <f t="shared" si="6"/>
        <v>F</v>
      </c>
      <c r="AF64" s="67" t="str">
        <f t="shared" si="7"/>
        <v>F</v>
      </c>
    </row>
    <row r="65" spans="1:32" ht="18" customHeight="1" x14ac:dyDescent="0.4">
      <c r="A65" s="41"/>
      <c r="B65" s="72" t="str">
        <f t="shared" si="8"/>
        <v>-</v>
      </c>
      <c r="C65" s="73"/>
      <c r="D65" s="74"/>
      <c r="E65" s="75"/>
      <c r="F65" s="76"/>
      <c r="G65" s="74"/>
      <c r="H65" s="75"/>
      <c r="I65" s="74" t="str">
        <f t="shared" si="9"/>
        <v>-</v>
      </c>
      <c r="J65" s="74"/>
      <c r="K65" s="49"/>
      <c r="AA65" s="67" t="str">
        <f t="shared" si="2"/>
        <v>F</v>
      </c>
      <c r="AB65" s="67" t="str">
        <f t="shared" si="3"/>
        <v>F</v>
      </c>
      <c r="AC65" s="67" t="str">
        <f t="shared" si="4"/>
        <v>F</v>
      </c>
      <c r="AD65" s="67" t="str">
        <f t="shared" si="5"/>
        <v>F</v>
      </c>
      <c r="AE65" s="67" t="str">
        <f t="shared" si="6"/>
        <v>F</v>
      </c>
      <c r="AF65" s="67" t="str">
        <f t="shared" si="7"/>
        <v>F</v>
      </c>
    </row>
    <row r="66" spans="1:32" ht="18" customHeight="1" x14ac:dyDescent="0.4">
      <c r="A66" s="41"/>
      <c r="B66" s="72" t="str">
        <f t="shared" si="8"/>
        <v>-</v>
      </c>
      <c r="C66" s="73"/>
      <c r="D66" s="74"/>
      <c r="E66" s="75"/>
      <c r="F66" s="76"/>
      <c r="G66" s="74"/>
      <c r="H66" s="75"/>
      <c r="I66" s="74" t="str">
        <f t="shared" si="9"/>
        <v>-</v>
      </c>
      <c r="J66" s="74"/>
      <c r="K66" s="49"/>
      <c r="AA66" s="67" t="str">
        <f t="shared" si="2"/>
        <v>F</v>
      </c>
      <c r="AB66" s="67" t="str">
        <f t="shared" si="3"/>
        <v>F</v>
      </c>
      <c r="AC66" s="67" t="str">
        <f t="shared" si="4"/>
        <v>F</v>
      </c>
      <c r="AD66" s="67" t="str">
        <f t="shared" si="5"/>
        <v>F</v>
      </c>
      <c r="AE66" s="67" t="str">
        <f t="shared" si="6"/>
        <v>F</v>
      </c>
      <c r="AF66" s="67" t="str">
        <f t="shared" si="7"/>
        <v>F</v>
      </c>
    </row>
    <row r="67" spans="1:32" ht="18" customHeight="1" x14ac:dyDescent="0.4">
      <c r="A67" s="41"/>
      <c r="B67" s="72" t="str">
        <f t="shared" si="8"/>
        <v>-</v>
      </c>
      <c r="C67" s="73"/>
      <c r="D67" s="74"/>
      <c r="E67" s="75"/>
      <c r="F67" s="76"/>
      <c r="G67" s="74"/>
      <c r="H67" s="75"/>
      <c r="I67" s="74" t="str">
        <f t="shared" si="9"/>
        <v>-</v>
      </c>
      <c r="J67" s="74"/>
      <c r="K67" s="49"/>
      <c r="AA67" s="67" t="str">
        <f t="shared" si="2"/>
        <v>F</v>
      </c>
      <c r="AB67" s="67" t="str">
        <f t="shared" si="3"/>
        <v>F</v>
      </c>
      <c r="AC67" s="67" t="str">
        <f t="shared" si="4"/>
        <v>F</v>
      </c>
      <c r="AD67" s="67" t="str">
        <f t="shared" si="5"/>
        <v>F</v>
      </c>
      <c r="AE67" s="67" t="str">
        <f t="shared" si="6"/>
        <v>F</v>
      </c>
      <c r="AF67" s="67" t="str">
        <f t="shared" si="7"/>
        <v>F</v>
      </c>
    </row>
    <row r="68" spans="1:32" ht="18" customHeight="1" x14ac:dyDescent="0.4">
      <c r="A68" s="41"/>
      <c r="B68" s="72" t="str">
        <f t="shared" si="8"/>
        <v>-</v>
      </c>
      <c r="C68" s="73"/>
      <c r="D68" s="74"/>
      <c r="E68" s="75"/>
      <c r="F68" s="76"/>
      <c r="G68" s="74"/>
      <c r="H68" s="75"/>
      <c r="I68" s="74" t="str">
        <f t="shared" si="9"/>
        <v>-</v>
      </c>
      <c r="J68" s="74"/>
      <c r="K68" s="49"/>
      <c r="AA68" s="67" t="str">
        <f t="shared" si="2"/>
        <v>F</v>
      </c>
      <c r="AB68" s="67" t="str">
        <f t="shared" si="3"/>
        <v>F</v>
      </c>
      <c r="AC68" s="67" t="str">
        <f t="shared" si="4"/>
        <v>F</v>
      </c>
      <c r="AD68" s="67" t="str">
        <f t="shared" si="5"/>
        <v>F</v>
      </c>
      <c r="AE68" s="67" t="str">
        <f t="shared" si="6"/>
        <v>F</v>
      </c>
      <c r="AF68" s="67" t="str">
        <f t="shared" si="7"/>
        <v>F</v>
      </c>
    </row>
    <row r="69" spans="1:32" ht="18" customHeight="1" x14ac:dyDescent="0.4">
      <c r="A69" s="41"/>
      <c r="B69" s="72" t="str">
        <f t="shared" si="8"/>
        <v>-</v>
      </c>
      <c r="C69" s="73"/>
      <c r="D69" s="74"/>
      <c r="E69" s="75"/>
      <c r="F69" s="76"/>
      <c r="G69" s="74"/>
      <c r="H69" s="75"/>
      <c r="I69" s="74" t="str">
        <f t="shared" si="9"/>
        <v>-</v>
      </c>
      <c r="J69" s="74"/>
      <c r="K69" s="49"/>
      <c r="AA69" s="67" t="str">
        <f t="shared" si="2"/>
        <v>F</v>
      </c>
      <c r="AB69" s="67" t="str">
        <f t="shared" si="3"/>
        <v>F</v>
      </c>
      <c r="AC69" s="67" t="str">
        <f t="shared" si="4"/>
        <v>F</v>
      </c>
      <c r="AD69" s="67" t="str">
        <f t="shared" si="5"/>
        <v>F</v>
      </c>
      <c r="AE69" s="67" t="str">
        <f t="shared" si="6"/>
        <v>F</v>
      </c>
      <c r="AF69" s="67" t="str">
        <f t="shared" si="7"/>
        <v>F</v>
      </c>
    </row>
    <row r="70" spans="1:32" ht="18" customHeight="1" x14ac:dyDescent="0.4">
      <c r="A70" s="41"/>
      <c r="B70" s="72" t="str">
        <f t="shared" si="8"/>
        <v>-</v>
      </c>
      <c r="C70" s="73"/>
      <c r="D70" s="74"/>
      <c r="E70" s="75"/>
      <c r="F70" s="76"/>
      <c r="G70" s="74"/>
      <c r="H70" s="75"/>
      <c r="I70" s="74" t="str">
        <f t="shared" si="9"/>
        <v>-</v>
      </c>
      <c r="J70" s="74"/>
      <c r="K70" s="49"/>
      <c r="AA70" s="67" t="str">
        <f t="shared" si="2"/>
        <v>F</v>
      </c>
      <c r="AB70" s="67" t="str">
        <f t="shared" si="3"/>
        <v>F</v>
      </c>
      <c r="AC70" s="67" t="str">
        <f t="shared" si="4"/>
        <v>F</v>
      </c>
      <c r="AD70" s="67" t="str">
        <f t="shared" si="5"/>
        <v>F</v>
      </c>
      <c r="AE70" s="67" t="str">
        <f t="shared" si="6"/>
        <v>F</v>
      </c>
      <c r="AF70" s="67" t="str">
        <f t="shared" si="7"/>
        <v>F</v>
      </c>
    </row>
    <row r="71" spans="1:32" ht="18" customHeight="1" x14ac:dyDescent="0.4">
      <c r="A71" s="41"/>
      <c r="B71" s="72" t="str">
        <f t="shared" si="8"/>
        <v>-</v>
      </c>
      <c r="C71" s="73"/>
      <c r="D71" s="74"/>
      <c r="E71" s="75"/>
      <c r="F71" s="76"/>
      <c r="G71" s="74"/>
      <c r="H71" s="75"/>
      <c r="I71" s="74" t="str">
        <f t="shared" si="9"/>
        <v>-</v>
      </c>
      <c r="J71" s="74"/>
      <c r="K71" s="49"/>
      <c r="AA71" s="67" t="str">
        <f t="shared" si="2"/>
        <v>F</v>
      </c>
      <c r="AB71" s="67" t="str">
        <f t="shared" si="3"/>
        <v>F</v>
      </c>
      <c r="AC71" s="67" t="str">
        <f t="shared" si="4"/>
        <v>F</v>
      </c>
      <c r="AD71" s="67" t="str">
        <f t="shared" si="5"/>
        <v>F</v>
      </c>
      <c r="AE71" s="67" t="str">
        <f t="shared" si="6"/>
        <v>F</v>
      </c>
      <c r="AF71" s="67" t="str">
        <f t="shared" si="7"/>
        <v>F</v>
      </c>
    </row>
    <row r="72" spans="1:32" ht="18" customHeight="1" x14ac:dyDescent="0.4">
      <c r="A72" s="41"/>
      <c r="B72" s="72" t="str">
        <f t="shared" si="8"/>
        <v>-</v>
      </c>
      <c r="C72" s="73"/>
      <c r="D72" s="74"/>
      <c r="E72" s="75"/>
      <c r="F72" s="76"/>
      <c r="G72" s="74"/>
      <c r="H72" s="75"/>
      <c r="I72" s="74" t="str">
        <f t="shared" si="9"/>
        <v>-</v>
      </c>
      <c r="J72" s="74"/>
      <c r="K72" s="49"/>
      <c r="AA72" s="67" t="str">
        <f t="shared" si="2"/>
        <v>F</v>
      </c>
      <c r="AB72" s="67" t="str">
        <f t="shared" si="3"/>
        <v>F</v>
      </c>
      <c r="AC72" s="67" t="str">
        <f t="shared" si="4"/>
        <v>F</v>
      </c>
      <c r="AD72" s="67" t="str">
        <f t="shared" si="5"/>
        <v>F</v>
      </c>
      <c r="AE72" s="67" t="str">
        <f t="shared" si="6"/>
        <v>F</v>
      </c>
      <c r="AF72" s="67" t="str">
        <f t="shared" si="7"/>
        <v>F</v>
      </c>
    </row>
    <row r="73" spans="1:32" ht="18" customHeight="1" x14ac:dyDescent="0.4">
      <c r="A73" s="41"/>
      <c r="B73" s="72" t="str">
        <f t="shared" si="8"/>
        <v>-</v>
      </c>
      <c r="C73" s="73"/>
      <c r="D73" s="74"/>
      <c r="E73" s="75"/>
      <c r="F73" s="76"/>
      <c r="G73" s="74"/>
      <c r="H73" s="75"/>
      <c r="I73" s="74" t="str">
        <f t="shared" si="9"/>
        <v>-</v>
      </c>
      <c r="J73" s="74"/>
      <c r="K73" s="49"/>
      <c r="AA73" s="67" t="str">
        <f t="shared" si="2"/>
        <v>F</v>
      </c>
      <c r="AB73" s="67" t="str">
        <f t="shared" si="3"/>
        <v>F</v>
      </c>
      <c r="AC73" s="67" t="str">
        <f t="shared" si="4"/>
        <v>F</v>
      </c>
      <c r="AD73" s="67" t="str">
        <f t="shared" si="5"/>
        <v>F</v>
      </c>
      <c r="AE73" s="67" t="str">
        <f t="shared" si="6"/>
        <v>F</v>
      </c>
      <c r="AF73" s="67" t="str">
        <f t="shared" si="7"/>
        <v>F</v>
      </c>
    </row>
    <row r="74" spans="1:32" ht="18" customHeight="1" x14ac:dyDescent="0.4">
      <c r="A74" s="41"/>
      <c r="B74" s="72" t="str">
        <f t="shared" si="8"/>
        <v>-</v>
      </c>
      <c r="C74" s="73"/>
      <c r="D74" s="74"/>
      <c r="E74" s="75"/>
      <c r="F74" s="76"/>
      <c r="G74" s="74"/>
      <c r="H74" s="75"/>
      <c r="I74" s="74" t="str">
        <f t="shared" si="9"/>
        <v>-</v>
      </c>
      <c r="J74" s="74"/>
      <c r="K74" s="49"/>
      <c r="AA74" s="67" t="str">
        <f t="shared" si="2"/>
        <v>F</v>
      </c>
      <c r="AB74" s="67" t="str">
        <f t="shared" si="3"/>
        <v>F</v>
      </c>
      <c r="AC74" s="67" t="str">
        <f t="shared" si="4"/>
        <v>F</v>
      </c>
      <c r="AD74" s="67" t="str">
        <f t="shared" si="5"/>
        <v>F</v>
      </c>
      <c r="AE74" s="67" t="str">
        <f t="shared" si="6"/>
        <v>F</v>
      </c>
      <c r="AF74" s="67" t="str">
        <f t="shared" si="7"/>
        <v>F</v>
      </c>
    </row>
    <row r="75" spans="1:32" ht="18" customHeight="1" x14ac:dyDescent="0.4">
      <c r="A75" s="41"/>
      <c r="B75" s="72" t="str">
        <f t="shared" si="8"/>
        <v>-</v>
      </c>
      <c r="C75" s="73"/>
      <c r="D75" s="74"/>
      <c r="E75" s="75"/>
      <c r="F75" s="76"/>
      <c r="G75" s="74"/>
      <c r="H75" s="75"/>
      <c r="I75" s="74" t="str">
        <f t="shared" si="9"/>
        <v>-</v>
      </c>
      <c r="J75" s="74"/>
      <c r="K75" s="49"/>
      <c r="AA75" s="67" t="str">
        <f t="shared" si="2"/>
        <v>F</v>
      </c>
      <c r="AB75" s="67" t="str">
        <f t="shared" si="3"/>
        <v>F</v>
      </c>
      <c r="AC75" s="67" t="str">
        <f t="shared" si="4"/>
        <v>F</v>
      </c>
      <c r="AD75" s="67" t="str">
        <f t="shared" si="5"/>
        <v>F</v>
      </c>
      <c r="AE75" s="67" t="str">
        <f t="shared" si="6"/>
        <v>F</v>
      </c>
      <c r="AF75" s="67" t="str">
        <f t="shared" si="7"/>
        <v>F</v>
      </c>
    </row>
    <row r="76" spans="1:32" ht="18" customHeight="1" x14ac:dyDescent="0.4">
      <c r="A76" s="41"/>
      <c r="B76" s="72" t="str">
        <f t="shared" si="8"/>
        <v>-</v>
      </c>
      <c r="C76" s="73"/>
      <c r="D76" s="74"/>
      <c r="E76" s="75"/>
      <c r="F76" s="76"/>
      <c r="G76" s="74"/>
      <c r="H76" s="75"/>
      <c r="I76" s="74" t="str">
        <f t="shared" si="9"/>
        <v>-</v>
      </c>
      <c r="J76" s="74"/>
      <c r="K76" s="49"/>
      <c r="AA76" s="67" t="str">
        <f t="shared" si="2"/>
        <v>F</v>
      </c>
      <c r="AB76" s="67" t="str">
        <f t="shared" si="3"/>
        <v>F</v>
      </c>
      <c r="AC76" s="67" t="str">
        <f t="shared" si="4"/>
        <v>F</v>
      </c>
      <c r="AD76" s="67" t="str">
        <f t="shared" si="5"/>
        <v>F</v>
      </c>
      <c r="AE76" s="67" t="str">
        <f t="shared" si="6"/>
        <v>F</v>
      </c>
      <c r="AF76" s="67" t="str">
        <f t="shared" si="7"/>
        <v>F</v>
      </c>
    </row>
    <row r="77" spans="1:32" ht="18" customHeight="1" x14ac:dyDescent="0.4">
      <c r="A77" s="41"/>
      <c r="B77" s="72" t="str">
        <f t="shared" si="8"/>
        <v>-</v>
      </c>
      <c r="C77" s="73"/>
      <c r="D77" s="74"/>
      <c r="E77" s="75"/>
      <c r="F77" s="76"/>
      <c r="G77" s="74"/>
      <c r="H77" s="75"/>
      <c r="I77" s="74" t="str">
        <f t="shared" si="9"/>
        <v>-</v>
      </c>
      <c r="J77" s="74"/>
      <c r="K77" s="49"/>
      <c r="AA77" s="67" t="str">
        <f t="shared" si="2"/>
        <v>F</v>
      </c>
      <c r="AB77" s="67" t="str">
        <f t="shared" si="3"/>
        <v>F</v>
      </c>
      <c r="AC77" s="67" t="str">
        <f t="shared" si="4"/>
        <v>F</v>
      </c>
      <c r="AD77" s="67" t="str">
        <f t="shared" si="5"/>
        <v>F</v>
      </c>
      <c r="AE77" s="67" t="str">
        <f t="shared" si="6"/>
        <v>F</v>
      </c>
      <c r="AF77" s="67" t="str">
        <f t="shared" si="7"/>
        <v>F</v>
      </c>
    </row>
    <row r="78" spans="1:32" ht="18" customHeight="1" x14ac:dyDescent="0.4">
      <c r="A78" s="41"/>
      <c r="B78" s="72" t="str">
        <f t="shared" si="8"/>
        <v>-</v>
      </c>
      <c r="C78" s="73"/>
      <c r="D78" s="74"/>
      <c r="E78" s="75"/>
      <c r="F78" s="76"/>
      <c r="G78" s="74"/>
      <c r="H78" s="75"/>
      <c r="I78" s="74" t="str">
        <f t="shared" si="9"/>
        <v>-</v>
      </c>
      <c r="J78" s="74"/>
      <c r="K78" s="49"/>
      <c r="AA78" s="67" t="str">
        <f t="shared" si="2"/>
        <v>F</v>
      </c>
      <c r="AB78" s="67" t="str">
        <f t="shared" si="3"/>
        <v>F</v>
      </c>
      <c r="AC78" s="67" t="str">
        <f t="shared" si="4"/>
        <v>F</v>
      </c>
      <c r="AD78" s="67" t="str">
        <f t="shared" si="5"/>
        <v>F</v>
      </c>
      <c r="AE78" s="67" t="str">
        <f t="shared" si="6"/>
        <v>F</v>
      </c>
      <c r="AF78" s="67" t="str">
        <f t="shared" si="7"/>
        <v>F</v>
      </c>
    </row>
    <row r="79" spans="1:32" ht="18" customHeight="1" x14ac:dyDescent="0.4">
      <c r="A79" s="41"/>
      <c r="B79" s="72" t="str">
        <f t="shared" si="8"/>
        <v>-</v>
      </c>
      <c r="C79" s="73"/>
      <c r="D79" s="74"/>
      <c r="E79" s="75"/>
      <c r="F79" s="76"/>
      <c r="G79" s="74"/>
      <c r="H79" s="75"/>
      <c r="I79" s="74" t="str">
        <f t="shared" si="9"/>
        <v>-</v>
      </c>
      <c r="J79" s="74"/>
      <c r="K79" s="49"/>
      <c r="AA79" s="67" t="str">
        <f t="shared" ref="AA79:AA115" si="10">IF($C$6="이사","T",IF($C$6="부사장","T",IF($C$6="전무","T",IF($C$6="상무","T","F"))))</f>
        <v>F</v>
      </c>
      <c r="AB79" s="67" t="str">
        <f t="shared" ref="AB79:AB115" si="11">IF(AND(AA79="T",F79&gt;=100000),"T","F")</f>
        <v>F</v>
      </c>
      <c r="AC79" s="67" t="str">
        <f t="shared" ref="AC79:AC115" si="12">IF(AND(AA79="F",F79&gt;=70000),"T","F")</f>
        <v>F</v>
      </c>
      <c r="AD79" s="67" t="str">
        <f t="shared" ref="AD79:AD115" si="13">IF(OR(E79="접대비",E79="회식비",E79="야특근식비"),"T","F")</f>
        <v>F</v>
      </c>
      <c r="AE79" s="67" t="str">
        <f t="shared" ref="AE79:AE115" si="14">IF(AND(AA79="T",AB79="T"),"T",IF(AND(AA79="F",AC79="T"),"T","F"))</f>
        <v>F</v>
      </c>
      <c r="AF79" s="67" t="str">
        <f t="shared" ref="AF79:AF115" si="15">IF(AND(AD79="T",AE79="T"),"T","F")</f>
        <v>F</v>
      </c>
    </row>
    <row r="80" spans="1:32" ht="18" customHeight="1" x14ac:dyDescent="0.4">
      <c r="A80" s="41"/>
      <c r="B80" s="72" t="str">
        <f t="shared" ref="B80:B112" si="16">IF(C80 &lt;&gt;"",$C$5, "-")</f>
        <v>-</v>
      </c>
      <c r="C80" s="73"/>
      <c r="D80" s="74"/>
      <c r="E80" s="75"/>
      <c r="F80" s="76"/>
      <c r="G80" s="74"/>
      <c r="H80" s="75"/>
      <c r="I80" s="74" t="str">
        <f t="shared" ref="I80:I112" si="17">IF(C80 &lt;&gt;"",$F$6, "-")</f>
        <v>-</v>
      </c>
      <c r="J80" s="74"/>
      <c r="K80" s="49"/>
      <c r="AA80" s="67" t="str">
        <f t="shared" si="10"/>
        <v>F</v>
      </c>
      <c r="AB80" s="67" t="str">
        <f t="shared" si="11"/>
        <v>F</v>
      </c>
      <c r="AC80" s="67" t="str">
        <f t="shared" si="12"/>
        <v>F</v>
      </c>
      <c r="AD80" s="67" t="str">
        <f t="shared" si="13"/>
        <v>F</v>
      </c>
      <c r="AE80" s="67" t="str">
        <f t="shared" si="14"/>
        <v>F</v>
      </c>
      <c r="AF80" s="67" t="str">
        <f t="shared" si="15"/>
        <v>F</v>
      </c>
    </row>
    <row r="81" spans="1:32" ht="18" customHeight="1" x14ac:dyDescent="0.4">
      <c r="A81" s="41"/>
      <c r="B81" s="72" t="str">
        <f t="shared" si="16"/>
        <v>-</v>
      </c>
      <c r="C81" s="73"/>
      <c r="D81" s="74"/>
      <c r="E81" s="75"/>
      <c r="F81" s="76"/>
      <c r="G81" s="74"/>
      <c r="H81" s="75"/>
      <c r="I81" s="74" t="str">
        <f t="shared" si="17"/>
        <v>-</v>
      </c>
      <c r="J81" s="74"/>
      <c r="K81" s="49"/>
      <c r="AA81" s="67" t="str">
        <f t="shared" si="10"/>
        <v>F</v>
      </c>
      <c r="AB81" s="67" t="str">
        <f t="shared" si="11"/>
        <v>F</v>
      </c>
      <c r="AC81" s="67" t="str">
        <f t="shared" si="12"/>
        <v>F</v>
      </c>
      <c r="AD81" s="67" t="str">
        <f t="shared" si="13"/>
        <v>F</v>
      </c>
      <c r="AE81" s="67" t="str">
        <f t="shared" si="14"/>
        <v>F</v>
      </c>
      <c r="AF81" s="67" t="str">
        <f t="shared" si="15"/>
        <v>F</v>
      </c>
    </row>
    <row r="82" spans="1:32" ht="18" customHeight="1" x14ac:dyDescent="0.4">
      <c r="A82" s="41"/>
      <c r="B82" s="72" t="str">
        <f t="shared" si="16"/>
        <v>-</v>
      </c>
      <c r="C82" s="73"/>
      <c r="D82" s="74"/>
      <c r="E82" s="75"/>
      <c r="F82" s="76"/>
      <c r="G82" s="74"/>
      <c r="H82" s="75"/>
      <c r="I82" s="74" t="str">
        <f t="shared" si="17"/>
        <v>-</v>
      </c>
      <c r="J82" s="74"/>
      <c r="K82" s="49"/>
      <c r="AA82" s="67" t="str">
        <f t="shared" si="10"/>
        <v>F</v>
      </c>
      <c r="AB82" s="67" t="str">
        <f t="shared" si="11"/>
        <v>F</v>
      </c>
      <c r="AC82" s="67" t="str">
        <f t="shared" si="12"/>
        <v>F</v>
      </c>
      <c r="AD82" s="67" t="str">
        <f t="shared" si="13"/>
        <v>F</v>
      </c>
      <c r="AE82" s="67" t="str">
        <f t="shared" si="14"/>
        <v>F</v>
      </c>
      <c r="AF82" s="67" t="str">
        <f t="shared" si="15"/>
        <v>F</v>
      </c>
    </row>
    <row r="83" spans="1:32" ht="18" customHeight="1" x14ac:dyDescent="0.4">
      <c r="A83" s="41"/>
      <c r="B83" s="72" t="str">
        <f t="shared" si="16"/>
        <v>-</v>
      </c>
      <c r="C83" s="73"/>
      <c r="D83" s="74"/>
      <c r="E83" s="75"/>
      <c r="F83" s="76"/>
      <c r="G83" s="74"/>
      <c r="H83" s="75"/>
      <c r="I83" s="74" t="str">
        <f t="shared" si="17"/>
        <v>-</v>
      </c>
      <c r="J83" s="74"/>
      <c r="K83" s="49"/>
      <c r="AA83" s="67" t="str">
        <f t="shared" si="10"/>
        <v>F</v>
      </c>
      <c r="AB83" s="67" t="str">
        <f t="shared" si="11"/>
        <v>F</v>
      </c>
      <c r="AC83" s="67" t="str">
        <f t="shared" si="12"/>
        <v>F</v>
      </c>
      <c r="AD83" s="67" t="str">
        <f t="shared" si="13"/>
        <v>F</v>
      </c>
      <c r="AE83" s="67" t="str">
        <f t="shared" si="14"/>
        <v>F</v>
      </c>
      <c r="AF83" s="67" t="str">
        <f t="shared" si="15"/>
        <v>F</v>
      </c>
    </row>
    <row r="84" spans="1:32" ht="18" customHeight="1" x14ac:dyDescent="0.4">
      <c r="A84" s="41"/>
      <c r="B84" s="72" t="str">
        <f t="shared" si="16"/>
        <v>-</v>
      </c>
      <c r="C84" s="73"/>
      <c r="D84" s="74"/>
      <c r="E84" s="75"/>
      <c r="F84" s="76"/>
      <c r="G84" s="74"/>
      <c r="H84" s="75"/>
      <c r="I84" s="74" t="str">
        <f t="shared" si="17"/>
        <v>-</v>
      </c>
      <c r="J84" s="74"/>
      <c r="K84" s="49"/>
      <c r="AA84" s="67" t="str">
        <f t="shared" si="10"/>
        <v>F</v>
      </c>
      <c r="AB84" s="67" t="str">
        <f t="shared" si="11"/>
        <v>F</v>
      </c>
      <c r="AC84" s="67" t="str">
        <f t="shared" si="12"/>
        <v>F</v>
      </c>
      <c r="AD84" s="67" t="str">
        <f t="shared" si="13"/>
        <v>F</v>
      </c>
      <c r="AE84" s="67" t="str">
        <f t="shared" si="14"/>
        <v>F</v>
      </c>
      <c r="AF84" s="67" t="str">
        <f t="shared" si="15"/>
        <v>F</v>
      </c>
    </row>
    <row r="85" spans="1:32" ht="18" customHeight="1" x14ac:dyDescent="0.4">
      <c r="A85" s="41"/>
      <c r="B85" s="72" t="str">
        <f t="shared" si="16"/>
        <v>-</v>
      </c>
      <c r="C85" s="73"/>
      <c r="D85" s="74"/>
      <c r="E85" s="75"/>
      <c r="F85" s="76"/>
      <c r="G85" s="74"/>
      <c r="H85" s="75"/>
      <c r="I85" s="74" t="str">
        <f t="shared" si="17"/>
        <v>-</v>
      </c>
      <c r="J85" s="74"/>
      <c r="K85" s="49"/>
      <c r="AA85" s="67" t="str">
        <f t="shared" si="10"/>
        <v>F</v>
      </c>
      <c r="AB85" s="67" t="str">
        <f t="shared" si="11"/>
        <v>F</v>
      </c>
      <c r="AC85" s="67" t="str">
        <f t="shared" si="12"/>
        <v>F</v>
      </c>
      <c r="AD85" s="67" t="str">
        <f t="shared" si="13"/>
        <v>F</v>
      </c>
      <c r="AE85" s="67" t="str">
        <f t="shared" si="14"/>
        <v>F</v>
      </c>
      <c r="AF85" s="67" t="str">
        <f t="shared" si="15"/>
        <v>F</v>
      </c>
    </row>
    <row r="86" spans="1:32" ht="18" customHeight="1" x14ac:dyDescent="0.4">
      <c r="A86" s="41"/>
      <c r="B86" s="72" t="str">
        <f t="shared" si="16"/>
        <v>-</v>
      </c>
      <c r="C86" s="73"/>
      <c r="D86" s="74"/>
      <c r="E86" s="75"/>
      <c r="F86" s="76"/>
      <c r="G86" s="74"/>
      <c r="H86" s="75"/>
      <c r="I86" s="74" t="str">
        <f t="shared" si="17"/>
        <v>-</v>
      </c>
      <c r="J86" s="74"/>
      <c r="K86" s="49"/>
      <c r="AA86" s="67" t="str">
        <f t="shared" si="10"/>
        <v>F</v>
      </c>
      <c r="AB86" s="67" t="str">
        <f t="shared" si="11"/>
        <v>F</v>
      </c>
      <c r="AC86" s="67" t="str">
        <f t="shared" si="12"/>
        <v>F</v>
      </c>
      <c r="AD86" s="67" t="str">
        <f t="shared" si="13"/>
        <v>F</v>
      </c>
      <c r="AE86" s="67" t="str">
        <f t="shared" si="14"/>
        <v>F</v>
      </c>
      <c r="AF86" s="67" t="str">
        <f t="shared" si="15"/>
        <v>F</v>
      </c>
    </row>
    <row r="87" spans="1:32" ht="18" customHeight="1" x14ac:dyDescent="0.4">
      <c r="A87" s="41"/>
      <c r="B87" s="72" t="str">
        <f t="shared" si="16"/>
        <v>-</v>
      </c>
      <c r="C87" s="73"/>
      <c r="D87" s="74"/>
      <c r="E87" s="75"/>
      <c r="F87" s="76"/>
      <c r="G87" s="74"/>
      <c r="H87" s="75"/>
      <c r="I87" s="74" t="str">
        <f t="shared" si="17"/>
        <v>-</v>
      </c>
      <c r="J87" s="74"/>
      <c r="K87" s="49"/>
      <c r="AA87" s="67" t="str">
        <f t="shared" si="10"/>
        <v>F</v>
      </c>
      <c r="AB87" s="67" t="str">
        <f t="shared" si="11"/>
        <v>F</v>
      </c>
      <c r="AC87" s="67" t="str">
        <f t="shared" si="12"/>
        <v>F</v>
      </c>
      <c r="AD87" s="67" t="str">
        <f t="shared" si="13"/>
        <v>F</v>
      </c>
      <c r="AE87" s="67" t="str">
        <f t="shared" si="14"/>
        <v>F</v>
      </c>
      <c r="AF87" s="67" t="str">
        <f t="shared" si="15"/>
        <v>F</v>
      </c>
    </row>
    <row r="88" spans="1:32" ht="18" customHeight="1" x14ac:dyDescent="0.4">
      <c r="A88" s="41"/>
      <c r="B88" s="72" t="str">
        <f t="shared" si="16"/>
        <v>-</v>
      </c>
      <c r="C88" s="73"/>
      <c r="D88" s="74"/>
      <c r="E88" s="75"/>
      <c r="F88" s="76"/>
      <c r="G88" s="74"/>
      <c r="H88" s="75"/>
      <c r="I88" s="74" t="str">
        <f t="shared" si="17"/>
        <v>-</v>
      </c>
      <c r="J88" s="74"/>
      <c r="K88" s="49"/>
      <c r="AA88" s="67" t="str">
        <f t="shared" si="10"/>
        <v>F</v>
      </c>
      <c r="AB88" s="67" t="str">
        <f t="shared" si="11"/>
        <v>F</v>
      </c>
      <c r="AC88" s="67" t="str">
        <f t="shared" si="12"/>
        <v>F</v>
      </c>
      <c r="AD88" s="67" t="str">
        <f t="shared" si="13"/>
        <v>F</v>
      </c>
      <c r="AE88" s="67" t="str">
        <f t="shared" si="14"/>
        <v>F</v>
      </c>
      <c r="AF88" s="67" t="str">
        <f t="shared" si="15"/>
        <v>F</v>
      </c>
    </row>
    <row r="89" spans="1:32" ht="18" customHeight="1" x14ac:dyDescent="0.4">
      <c r="A89" s="41"/>
      <c r="B89" s="72" t="str">
        <f t="shared" si="16"/>
        <v>-</v>
      </c>
      <c r="C89" s="73"/>
      <c r="D89" s="74"/>
      <c r="E89" s="75"/>
      <c r="F89" s="76"/>
      <c r="G89" s="74"/>
      <c r="H89" s="75"/>
      <c r="I89" s="74" t="str">
        <f t="shared" si="17"/>
        <v>-</v>
      </c>
      <c r="J89" s="74"/>
      <c r="K89" s="49"/>
      <c r="AA89" s="67" t="str">
        <f t="shared" si="10"/>
        <v>F</v>
      </c>
      <c r="AB89" s="67" t="str">
        <f t="shared" si="11"/>
        <v>F</v>
      </c>
      <c r="AC89" s="67" t="str">
        <f t="shared" si="12"/>
        <v>F</v>
      </c>
      <c r="AD89" s="67" t="str">
        <f t="shared" si="13"/>
        <v>F</v>
      </c>
      <c r="AE89" s="67" t="str">
        <f t="shared" si="14"/>
        <v>F</v>
      </c>
      <c r="AF89" s="67" t="str">
        <f t="shared" si="15"/>
        <v>F</v>
      </c>
    </row>
    <row r="90" spans="1:32" ht="18" customHeight="1" x14ac:dyDescent="0.4">
      <c r="A90" s="41"/>
      <c r="B90" s="72" t="str">
        <f t="shared" si="16"/>
        <v>-</v>
      </c>
      <c r="C90" s="73"/>
      <c r="D90" s="74"/>
      <c r="E90" s="75"/>
      <c r="F90" s="76"/>
      <c r="G90" s="74"/>
      <c r="H90" s="75"/>
      <c r="I90" s="74" t="str">
        <f t="shared" si="17"/>
        <v>-</v>
      </c>
      <c r="J90" s="74"/>
      <c r="K90" s="49"/>
      <c r="AA90" s="67" t="str">
        <f t="shared" si="10"/>
        <v>F</v>
      </c>
      <c r="AB90" s="67" t="str">
        <f t="shared" si="11"/>
        <v>F</v>
      </c>
      <c r="AC90" s="67" t="str">
        <f t="shared" si="12"/>
        <v>F</v>
      </c>
      <c r="AD90" s="67" t="str">
        <f t="shared" si="13"/>
        <v>F</v>
      </c>
      <c r="AE90" s="67" t="str">
        <f t="shared" si="14"/>
        <v>F</v>
      </c>
      <c r="AF90" s="67" t="str">
        <f t="shared" si="15"/>
        <v>F</v>
      </c>
    </row>
    <row r="91" spans="1:32" ht="18" customHeight="1" x14ac:dyDescent="0.4">
      <c r="A91" s="41"/>
      <c r="B91" s="72" t="str">
        <f t="shared" si="16"/>
        <v>-</v>
      </c>
      <c r="C91" s="73"/>
      <c r="D91" s="74"/>
      <c r="E91" s="75"/>
      <c r="F91" s="76"/>
      <c r="G91" s="74"/>
      <c r="H91" s="75"/>
      <c r="I91" s="74" t="str">
        <f t="shared" si="17"/>
        <v>-</v>
      </c>
      <c r="J91" s="74"/>
      <c r="K91" s="49"/>
      <c r="AA91" s="67" t="str">
        <f t="shared" si="10"/>
        <v>F</v>
      </c>
      <c r="AB91" s="67" t="str">
        <f t="shared" si="11"/>
        <v>F</v>
      </c>
      <c r="AC91" s="67" t="str">
        <f t="shared" si="12"/>
        <v>F</v>
      </c>
      <c r="AD91" s="67" t="str">
        <f t="shared" si="13"/>
        <v>F</v>
      </c>
      <c r="AE91" s="67" t="str">
        <f t="shared" si="14"/>
        <v>F</v>
      </c>
      <c r="AF91" s="67" t="str">
        <f t="shared" si="15"/>
        <v>F</v>
      </c>
    </row>
    <row r="92" spans="1:32" ht="18" customHeight="1" x14ac:dyDescent="0.4">
      <c r="A92" s="41"/>
      <c r="B92" s="72" t="str">
        <f t="shared" si="16"/>
        <v>-</v>
      </c>
      <c r="C92" s="73"/>
      <c r="D92" s="74"/>
      <c r="E92" s="75"/>
      <c r="F92" s="76"/>
      <c r="G92" s="74"/>
      <c r="H92" s="75"/>
      <c r="I92" s="74" t="str">
        <f t="shared" si="17"/>
        <v>-</v>
      </c>
      <c r="J92" s="74"/>
      <c r="K92" s="49"/>
      <c r="AA92" s="67" t="str">
        <f t="shared" si="10"/>
        <v>F</v>
      </c>
      <c r="AB92" s="67" t="str">
        <f t="shared" si="11"/>
        <v>F</v>
      </c>
      <c r="AC92" s="67" t="str">
        <f t="shared" si="12"/>
        <v>F</v>
      </c>
      <c r="AD92" s="67" t="str">
        <f t="shared" si="13"/>
        <v>F</v>
      </c>
      <c r="AE92" s="67" t="str">
        <f t="shared" si="14"/>
        <v>F</v>
      </c>
      <c r="AF92" s="67" t="str">
        <f t="shared" si="15"/>
        <v>F</v>
      </c>
    </row>
    <row r="93" spans="1:32" ht="18" customHeight="1" x14ac:dyDescent="0.4">
      <c r="A93" s="41"/>
      <c r="B93" s="72" t="str">
        <f t="shared" si="16"/>
        <v>-</v>
      </c>
      <c r="C93" s="73"/>
      <c r="D93" s="74"/>
      <c r="E93" s="75"/>
      <c r="F93" s="76"/>
      <c r="G93" s="74"/>
      <c r="H93" s="75"/>
      <c r="I93" s="74" t="str">
        <f t="shared" si="17"/>
        <v>-</v>
      </c>
      <c r="J93" s="74"/>
      <c r="K93" s="49"/>
      <c r="AA93" s="67" t="str">
        <f t="shared" si="10"/>
        <v>F</v>
      </c>
      <c r="AB93" s="67" t="str">
        <f t="shared" si="11"/>
        <v>F</v>
      </c>
      <c r="AC93" s="67" t="str">
        <f t="shared" si="12"/>
        <v>F</v>
      </c>
      <c r="AD93" s="67" t="str">
        <f t="shared" si="13"/>
        <v>F</v>
      </c>
      <c r="AE93" s="67" t="str">
        <f t="shared" si="14"/>
        <v>F</v>
      </c>
      <c r="AF93" s="67" t="str">
        <f t="shared" si="15"/>
        <v>F</v>
      </c>
    </row>
    <row r="94" spans="1:32" ht="18" customHeight="1" x14ac:dyDescent="0.4">
      <c r="A94" s="41"/>
      <c r="B94" s="72" t="str">
        <f t="shared" si="16"/>
        <v>-</v>
      </c>
      <c r="C94" s="73"/>
      <c r="D94" s="74"/>
      <c r="E94" s="75"/>
      <c r="F94" s="76"/>
      <c r="G94" s="74"/>
      <c r="H94" s="75"/>
      <c r="I94" s="74" t="str">
        <f t="shared" si="17"/>
        <v>-</v>
      </c>
      <c r="J94" s="74"/>
      <c r="K94" s="49"/>
      <c r="AA94" s="67" t="str">
        <f t="shared" si="10"/>
        <v>F</v>
      </c>
      <c r="AB94" s="67" t="str">
        <f t="shared" si="11"/>
        <v>F</v>
      </c>
      <c r="AC94" s="67" t="str">
        <f t="shared" si="12"/>
        <v>F</v>
      </c>
      <c r="AD94" s="67" t="str">
        <f t="shared" si="13"/>
        <v>F</v>
      </c>
      <c r="AE94" s="67" t="str">
        <f t="shared" si="14"/>
        <v>F</v>
      </c>
      <c r="AF94" s="67" t="str">
        <f t="shared" si="15"/>
        <v>F</v>
      </c>
    </row>
    <row r="95" spans="1:32" ht="18" customHeight="1" x14ac:dyDescent="0.4">
      <c r="A95" s="41"/>
      <c r="B95" s="72" t="str">
        <f t="shared" si="16"/>
        <v>-</v>
      </c>
      <c r="C95" s="73"/>
      <c r="D95" s="74"/>
      <c r="E95" s="75"/>
      <c r="F95" s="76"/>
      <c r="G95" s="74"/>
      <c r="H95" s="75"/>
      <c r="I95" s="74" t="str">
        <f t="shared" si="17"/>
        <v>-</v>
      </c>
      <c r="J95" s="74"/>
      <c r="K95" s="49"/>
      <c r="AA95" s="67" t="str">
        <f t="shared" si="10"/>
        <v>F</v>
      </c>
      <c r="AB95" s="67" t="str">
        <f t="shared" si="11"/>
        <v>F</v>
      </c>
      <c r="AC95" s="67" t="str">
        <f t="shared" si="12"/>
        <v>F</v>
      </c>
      <c r="AD95" s="67" t="str">
        <f t="shared" si="13"/>
        <v>F</v>
      </c>
      <c r="AE95" s="67" t="str">
        <f t="shared" si="14"/>
        <v>F</v>
      </c>
      <c r="AF95" s="67" t="str">
        <f t="shared" si="15"/>
        <v>F</v>
      </c>
    </row>
    <row r="96" spans="1:32" ht="18" customHeight="1" x14ac:dyDescent="0.4">
      <c r="A96" s="41"/>
      <c r="B96" s="72" t="str">
        <f t="shared" si="16"/>
        <v>-</v>
      </c>
      <c r="C96" s="73"/>
      <c r="D96" s="74"/>
      <c r="E96" s="75"/>
      <c r="F96" s="76"/>
      <c r="G96" s="74"/>
      <c r="H96" s="75"/>
      <c r="I96" s="74" t="str">
        <f t="shared" si="17"/>
        <v>-</v>
      </c>
      <c r="J96" s="74"/>
      <c r="K96" s="49"/>
      <c r="AA96" s="67" t="str">
        <f t="shared" si="10"/>
        <v>F</v>
      </c>
      <c r="AB96" s="67" t="str">
        <f t="shared" si="11"/>
        <v>F</v>
      </c>
      <c r="AC96" s="67" t="str">
        <f t="shared" si="12"/>
        <v>F</v>
      </c>
      <c r="AD96" s="67" t="str">
        <f t="shared" si="13"/>
        <v>F</v>
      </c>
      <c r="AE96" s="67" t="str">
        <f t="shared" si="14"/>
        <v>F</v>
      </c>
      <c r="AF96" s="67" t="str">
        <f t="shared" si="15"/>
        <v>F</v>
      </c>
    </row>
    <row r="97" spans="1:32" ht="18" customHeight="1" x14ac:dyDescent="0.4">
      <c r="A97" s="41"/>
      <c r="B97" s="72" t="str">
        <f t="shared" si="16"/>
        <v>-</v>
      </c>
      <c r="C97" s="73"/>
      <c r="D97" s="74"/>
      <c r="E97" s="75"/>
      <c r="F97" s="76"/>
      <c r="G97" s="74"/>
      <c r="H97" s="75"/>
      <c r="I97" s="74" t="str">
        <f t="shared" si="17"/>
        <v>-</v>
      </c>
      <c r="J97" s="74"/>
      <c r="K97" s="49"/>
      <c r="AA97" s="67" t="str">
        <f t="shared" si="10"/>
        <v>F</v>
      </c>
      <c r="AB97" s="67" t="str">
        <f t="shared" si="11"/>
        <v>F</v>
      </c>
      <c r="AC97" s="67" t="str">
        <f t="shared" si="12"/>
        <v>F</v>
      </c>
      <c r="AD97" s="67" t="str">
        <f t="shared" si="13"/>
        <v>F</v>
      </c>
      <c r="AE97" s="67" t="str">
        <f t="shared" si="14"/>
        <v>F</v>
      </c>
      <c r="AF97" s="67" t="str">
        <f t="shared" si="15"/>
        <v>F</v>
      </c>
    </row>
    <row r="98" spans="1:32" ht="18" customHeight="1" x14ac:dyDescent="0.4">
      <c r="A98" s="41"/>
      <c r="B98" s="72" t="str">
        <f t="shared" si="16"/>
        <v>-</v>
      </c>
      <c r="C98" s="73"/>
      <c r="D98" s="74"/>
      <c r="E98" s="75"/>
      <c r="F98" s="76"/>
      <c r="G98" s="74"/>
      <c r="H98" s="75"/>
      <c r="I98" s="74" t="str">
        <f t="shared" si="17"/>
        <v>-</v>
      </c>
      <c r="J98" s="74"/>
      <c r="K98" s="49"/>
      <c r="AA98" s="67" t="str">
        <f t="shared" si="10"/>
        <v>F</v>
      </c>
      <c r="AB98" s="67" t="str">
        <f t="shared" si="11"/>
        <v>F</v>
      </c>
      <c r="AC98" s="67" t="str">
        <f t="shared" si="12"/>
        <v>F</v>
      </c>
      <c r="AD98" s="67" t="str">
        <f t="shared" si="13"/>
        <v>F</v>
      </c>
      <c r="AE98" s="67" t="str">
        <f t="shared" si="14"/>
        <v>F</v>
      </c>
      <c r="AF98" s="67" t="str">
        <f t="shared" si="15"/>
        <v>F</v>
      </c>
    </row>
    <row r="99" spans="1:32" ht="18" customHeight="1" x14ac:dyDescent="0.4">
      <c r="A99" s="41"/>
      <c r="B99" s="72" t="str">
        <f t="shared" si="16"/>
        <v>-</v>
      </c>
      <c r="C99" s="73"/>
      <c r="D99" s="74"/>
      <c r="E99" s="75"/>
      <c r="F99" s="76"/>
      <c r="G99" s="74"/>
      <c r="H99" s="75"/>
      <c r="I99" s="74" t="str">
        <f t="shared" si="17"/>
        <v>-</v>
      </c>
      <c r="J99" s="74"/>
      <c r="K99" s="49"/>
      <c r="AA99" s="67" t="str">
        <f t="shared" si="10"/>
        <v>F</v>
      </c>
      <c r="AB99" s="67" t="str">
        <f t="shared" si="11"/>
        <v>F</v>
      </c>
      <c r="AC99" s="67" t="str">
        <f t="shared" si="12"/>
        <v>F</v>
      </c>
      <c r="AD99" s="67" t="str">
        <f t="shared" si="13"/>
        <v>F</v>
      </c>
      <c r="AE99" s="67" t="str">
        <f t="shared" si="14"/>
        <v>F</v>
      </c>
      <c r="AF99" s="67" t="str">
        <f t="shared" si="15"/>
        <v>F</v>
      </c>
    </row>
    <row r="100" spans="1:32" ht="18" customHeight="1" x14ac:dyDescent="0.4">
      <c r="A100" s="41"/>
      <c r="B100" s="72" t="str">
        <f t="shared" si="16"/>
        <v>-</v>
      </c>
      <c r="C100" s="73"/>
      <c r="D100" s="74"/>
      <c r="E100" s="75"/>
      <c r="F100" s="76"/>
      <c r="G100" s="74"/>
      <c r="H100" s="75"/>
      <c r="I100" s="74" t="str">
        <f t="shared" si="17"/>
        <v>-</v>
      </c>
      <c r="J100" s="74"/>
      <c r="K100" s="49"/>
      <c r="AA100" s="67" t="str">
        <f t="shared" si="10"/>
        <v>F</v>
      </c>
      <c r="AB100" s="67" t="str">
        <f t="shared" si="11"/>
        <v>F</v>
      </c>
      <c r="AC100" s="67" t="str">
        <f t="shared" si="12"/>
        <v>F</v>
      </c>
      <c r="AD100" s="67" t="str">
        <f t="shared" si="13"/>
        <v>F</v>
      </c>
      <c r="AE100" s="67" t="str">
        <f t="shared" si="14"/>
        <v>F</v>
      </c>
      <c r="AF100" s="67" t="str">
        <f t="shared" si="15"/>
        <v>F</v>
      </c>
    </row>
    <row r="101" spans="1:32" ht="18" customHeight="1" x14ac:dyDescent="0.4">
      <c r="A101" s="41"/>
      <c r="B101" s="72" t="str">
        <f t="shared" si="16"/>
        <v>-</v>
      </c>
      <c r="C101" s="73"/>
      <c r="D101" s="74"/>
      <c r="E101" s="75"/>
      <c r="F101" s="76"/>
      <c r="G101" s="74"/>
      <c r="H101" s="75"/>
      <c r="I101" s="74" t="str">
        <f t="shared" si="17"/>
        <v>-</v>
      </c>
      <c r="J101" s="74"/>
      <c r="K101" s="49"/>
      <c r="AA101" s="67" t="str">
        <f t="shared" si="10"/>
        <v>F</v>
      </c>
      <c r="AB101" s="67" t="str">
        <f t="shared" si="11"/>
        <v>F</v>
      </c>
      <c r="AC101" s="67" t="str">
        <f t="shared" si="12"/>
        <v>F</v>
      </c>
      <c r="AD101" s="67" t="str">
        <f t="shared" si="13"/>
        <v>F</v>
      </c>
      <c r="AE101" s="67" t="str">
        <f t="shared" si="14"/>
        <v>F</v>
      </c>
      <c r="AF101" s="67" t="str">
        <f t="shared" si="15"/>
        <v>F</v>
      </c>
    </row>
    <row r="102" spans="1:32" ht="18" customHeight="1" x14ac:dyDescent="0.4">
      <c r="A102" s="41"/>
      <c r="B102" s="72" t="str">
        <f t="shared" si="16"/>
        <v>-</v>
      </c>
      <c r="C102" s="73"/>
      <c r="D102" s="74"/>
      <c r="E102" s="75"/>
      <c r="F102" s="76"/>
      <c r="G102" s="74"/>
      <c r="H102" s="75"/>
      <c r="I102" s="74" t="str">
        <f t="shared" si="17"/>
        <v>-</v>
      </c>
      <c r="J102" s="74"/>
      <c r="K102" s="49"/>
      <c r="AA102" s="67" t="str">
        <f t="shared" si="10"/>
        <v>F</v>
      </c>
      <c r="AB102" s="67" t="str">
        <f t="shared" si="11"/>
        <v>F</v>
      </c>
      <c r="AC102" s="67" t="str">
        <f t="shared" si="12"/>
        <v>F</v>
      </c>
      <c r="AD102" s="67" t="str">
        <f t="shared" si="13"/>
        <v>F</v>
      </c>
      <c r="AE102" s="67" t="str">
        <f t="shared" si="14"/>
        <v>F</v>
      </c>
      <c r="AF102" s="67" t="str">
        <f t="shared" si="15"/>
        <v>F</v>
      </c>
    </row>
    <row r="103" spans="1:32" ht="18" customHeight="1" x14ac:dyDescent="0.4">
      <c r="A103" s="41"/>
      <c r="B103" s="72" t="str">
        <f t="shared" si="16"/>
        <v>-</v>
      </c>
      <c r="C103" s="73"/>
      <c r="D103" s="74"/>
      <c r="E103" s="75"/>
      <c r="F103" s="76"/>
      <c r="G103" s="74"/>
      <c r="H103" s="75"/>
      <c r="I103" s="74" t="str">
        <f t="shared" si="17"/>
        <v>-</v>
      </c>
      <c r="J103" s="74"/>
      <c r="K103" s="49"/>
      <c r="AA103" s="67" t="str">
        <f t="shared" si="10"/>
        <v>F</v>
      </c>
      <c r="AB103" s="67" t="str">
        <f t="shared" si="11"/>
        <v>F</v>
      </c>
      <c r="AC103" s="67" t="str">
        <f t="shared" si="12"/>
        <v>F</v>
      </c>
      <c r="AD103" s="67" t="str">
        <f t="shared" si="13"/>
        <v>F</v>
      </c>
      <c r="AE103" s="67" t="str">
        <f t="shared" si="14"/>
        <v>F</v>
      </c>
      <c r="AF103" s="67" t="str">
        <f t="shared" si="15"/>
        <v>F</v>
      </c>
    </row>
    <row r="104" spans="1:32" ht="18" customHeight="1" x14ac:dyDescent="0.4">
      <c r="A104" s="41"/>
      <c r="B104" s="72" t="str">
        <f t="shared" si="16"/>
        <v>-</v>
      </c>
      <c r="C104" s="73"/>
      <c r="D104" s="74"/>
      <c r="E104" s="75"/>
      <c r="F104" s="76"/>
      <c r="G104" s="74"/>
      <c r="H104" s="75"/>
      <c r="I104" s="74" t="str">
        <f t="shared" si="17"/>
        <v>-</v>
      </c>
      <c r="J104" s="74"/>
      <c r="K104" s="49"/>
      <c r="AA104" s="67" t="str">
        <f t="shared" si="10"/>
        <v>F</v>
      </c>
      <c r="AB104" s="67" t="str">
        <f t="shared" si="11"/>
        <v>F</v>
      </c>
      <c r="AC104" s="67" t="str">
        <f t="shared" si="12"/>
        <v>F</v>
      </c>
      <c r="AD104" s="67" t="str">
        <f t="shared" si="13"/>
        <v>F</v>
      </c>
      <c r="AE104" s="67" t="str">
        <f t="shared" si="14"/>
        <v>F</v>
      </c>
      <c r="AF104" s="67" t="str">
        <f t="shared" si="15"/>
        <v>F</v>
      </c>
    </row>
    <row r="105" spans="1:32" ht="18" customHeight="1" x14ac:dyDescent="0.4">
      <c r="A105" s="41"/>
      <c r="B105" s="72" t="str">
        <f t="shared" si="16"/>
        <v>-</v>
      </c>
      <c r="C105" s="73"/>
      <c r="D105" s="74"/>
      <c r="E105" s="75"/>
      <c r="F105" s="76"/>
      <c r="G105" s="74"/>
      <c r="H105" s="75"/>
      <c r="I105" s="74" t="str">
        <f t="shared" si="17"/>
        <v>-</v>
      </c>
      <c r="J105" s="74"/>
      <c r="K105" s="49"/>
      <c r="AA105" s="67" t="str">
        <f t="shared" si="10"/>
        <v>F</v>
      </c>
      <c r="AB105" s="67" t="str">
        <f t="shared" si="11"/>
        <v>F</v>
      </c>
      <c r="AC105" s="67" t="str">
        <f t="shared" si="12"/>
        <v>F</v>
      </c>
      <c r="AD105" s="67" t="str">
        <f t="shared" si="13"/>
        <v>F</v>
      </c>
      <c r="AE105" s="67" t="str">
        <f t="shared" si="14"/>
        <v>F</v>
      </c>
      <c r="AF105" s="67" t="str">
        <f t="shared" si="15"/>
        <v>F</v>
      </c>
    </row>
    <row r="106" spans="1:32" ht="18" customHeight="1" x14ac:dyDescent="0.4">
      <c r="A106" s="41"/>
      <c r="B106" s="72" t="str">
        <f t="shared" si="16"/>
        <v>-</v>
      </c>
      <c r="C106" s="73"/>
      <c r="D106" s="74"/>
      <c r="E106" s="75"/>
      <c r="F106" s="76"/>
      <c r="G106" s="74"/>
      <c r="H106" s="75"/>
      <c r="I106" s="74" t="str">
        <f t="shared" si="17"/>
        <v>-</v>
      </c>
      <c r="J106" s="74"/>
      <c r="K106" s="49"/>
      <c r="AA106" s="67" t="str">
        <f t="shared" si="10"/>
        <v>F</v>
      </c>
      <c r="AB106" s="67" t="str">
        <f t="shared" si="11"/>
        <v>F</v>
      </c>
      <c r="AC106" s="67" t="str">
        <f t="shared" si="12"/>
        <v>F</v>
      </c>
      <c r="AD106" s="67" t="str">
        <f t="shared" si="13"/>
        <v>F</v>
      </c>
      <c r="AE106" s="67" t="str">
        <f t="shared" si="14"/>
        <v>F</v>
      </c>
      <c r="AF106" s="67" t="str">
        <f t="shared" si="15"/>
        <v>F</v>
      </c>
    </row>
    <row r="107" spans="1:32" ht="18" customHeight="1" x14ac:dyDescent="0.4">
      <c r="A107" s="41"/>
      <c r="B107" s="72" t="str">
        <f t="shared" si="16"/>
        <v>-</v>
      </c>
      <c r="C107" s="73"/>
      <c r="D107" s="74"/>
      <c r="E107" s="75"/>
      <c r="F107" s="76"/>
      <c r="G107" s="74"/>
      <c r="H107" s="75"/>
      <c r="I107" s="74" t="str">
        <f t="shared" si="17"/>
        <v>-</v>
      </c>
      <c r="J107" s="74"/>
      <c r="K107" s="49"/>
      <c r="AA107" s="67" t="str">
        <f t="shared" si="10"/>
        <v>F</v>
      </c>
      <c r="AB107" s="67" t="str">
        <f t="shared" si="11"/>
        <v>F</v>
      </c>
      <c r="AC107" s="67" t="str">
        <f t="shared" si="12"/>
        <v>F</v>
      </c>
      <c r="AD107" s="67" t="str">
        <f t="shared" si="13"/>
        <v>F</v>
      </c>
      <c r="AE107" s="67" t="str">
        <f t="shared" si="14"/>
        <v>F</v>
      </c>
      <c r="AF107" s="67" t="str">
        <f t="shared" si="15"/>
        <v>F</v>
      </c>
    </row>
    <row r="108" spans="1:32" ht="18" customHeight="1" x14ac:dyDescent="0.4">
      <c r="A108" s="41"/>
      <c r="B108" s="72" t="str">
        <f t="shared" si="16"/>
        <v>-</v>
      </c>
      <c r="C108" s="73"/>
      <c r="D108" s="74"/>
      <c r="E108" s="75"/>
      <c r="F108" s="76"/>
      <c r="G108" s="74"/>
      <c r="H108" s="75"/>
      <c r="I108" s="74" t="str">
        <f t="shared" si="17"/>
        <v>-</v>
      </c>
      <c r="J108" s="74"/>
      <c r="K108" s="49"/>
      <c r="AA108" s="67" t="str">
        <f t="shared" si="10"/>
        <v>F</v>
      </c>
      <c r="AB108" s="67" t="str">
        <f t="shared" si="11"/>
        <v>F</v>
      </c>
      <c r="AC108" s="67" t="str">
        <f t="shared" si="12"/>
        <v>F</v>
      </c>
      <c r="AD108" s="67" t="str">
        <f t="shared" si="13"/>
        <v>F</v>
      </c>
      <c r="AE108" s="67" t="str">
        <f t="shared" si="14"/>
        <v>F</v>
      </c>
      <c r="AF108" s="67" t="str">
        <f t="shared" si="15"/>
        <v>F</v>
      </c>
    </row>
    <row r="109" spans="1:32" ht="18" customHeight="1" x14ac:dyDescent="0.4">
      <c r="A109" s="41"/>
      <c r="B109" s="72" t="str">
        <f t="shared" si="16"/>
        <v>-</v>
      </c>
      <c r="C109" s="73"/>
      <c r="D109" s="74"/>
      <c r="E109" s="75"/>
      <c r="F109" s="76"/>
      <c r="G109" s="74"/>
      <c r="H109" s="75"/>
      <c r="I109" s="74" t="str">
        <f t="shared" si="17"/>
        <v>-</v>
      </c>
      <c r="J109" s="74"/>
      <c r="K109" s="49"/>
      <c r="AA109" s="67" t="str">
        <f t="shared" si="10"/>
        <v>F</v>
      </c>
      <c r="AB109" s="67" t="str">
        <f t="shared" si="11"/>
        <v>F</v>
      </c>
      <c r="AC109" s="67" t="str">
        <f t="shared" si="12"/>
        <v>F</v>
      </c>
      <c r="AD109" s="67" t="str">
        <f t="shared" si="13"/>
        <v>F</v>
      </c>
      <c r="AE109" s="67" t="str">
        <f t="shared" si="14"/>
        <v>F</v>
      </c>
      <c r="AF109" s="67" t="str">
        <f t="shared" si="15"/>
        <v>F</v>
      </c>
    </row>
    <row r="110" spans="1:32" ht="18" customHeight="1" x14ac:dyDescent="0.4">
      <c r="A110" s="41"/>
      <c r="B110" s="72" t="str">
        <f t="shared" si="16"/>
        <v>-</v>
      </c>
      <c r="C110" s="73"/>
      <c r="D110" s="74"/>
      <c r="E110" s="75"/>
      <c r="F110" s="76"/>
      <c r="G110" s="74"/>
      <c r="H110" s="75"/>
      <c r="I110" s="74" t="str">
        <f t="shared" si="17"/>
        <v>-</v>
      </c>
      <c r="J110" s="74"/>
      <c r="K110" s="49"/>
      <c r="AA110" s="67" t="str">
        <f t="shared" si="10"/>
        <v>F</v>
      </c>
      <c r="AB110" s="67" t="str">
        <f t="shared" si="11"/>
        <v>F</v>
      </c>
      <c r="AC110" s="67" t="str">
        <f t="shared" si="12"/>
        <v>F</v>
      </c>
      <c r="AD110" s="67" t="str">
        <f t="shared" si="13"/>
        <v>F</v>
      </c>
      <c r="AE110" s="67" t="str">
        <f t="shared" si="14"/>
        <v>F</v>
      </c>
      <c r="AF110" s="67" t="str">
        <f t="shared" si="15"/>
        <v>F</v>
      </c>
    </row>
    <row r="111" spans="1:32" ht="18" customHeight="1" x14ac:dyDescent="0.4">
      <c r="A111" s="41"/>
      <c r="B111" s="72" t="str">
        <f t="shared" si="16"/>
        <v>-</v>
      </c>
      <c r="C111" s="73"/>
      <c r="D111" s="74"/>
      <c r="E111" s="75"/>
      <c r="F111" s="76"/>
      <c r="G111" s="74"/>
      <c r="H111" s="75"/>
      <c r="I111" s="74" t="str">
        <f t="shared" si="17"/>
        <v>-</v>
      </c>
      <c r="J111" s="74"/>
      <c r="K111" s="49"/>
      <c r="AA111" s="67" t="str">
        <f t="shared" si="10"/>
        <v>F</v>
      </c>
      <c r="AB111" s="67" t="str">
        <f t="shared" si="11"/>
        <v>F</v>
      </c>
      <c r="AC111" s="67" t="str">
        <f t="shared" si="12"/>
        <v>F</v>
      </c>
      <c r="AD111" s="67" t="str">
        <f t="shared" si="13"/>
        <v>F</v>
      </c>
      <c r="AE111" s="67" t="str">
        <f t="shared" si="14"/>
        <v>F</v>
      </c>
      <c r="AF111" s="67" t="str">
        <f t="shared" si="15"/>
        <v>F</v>
      </c>
    </row>
    <row r="112" spans="1:32" ht="18" customHeight="1" x14ac:dyDescent="0.4">
      <c r="A112" s="41"/>
      <c r="B112" s="72" t="str">
        <f t="shared" si="16"/>
        <v>-</v>
      </c>
      <c r="C112" s="73"/>
      <c r="D112" s="74"/>
      <c r="E112" s="75"/>
      <c r="F112" s="76"/>
      <c r="G112" s="74"/>
      <c r="H112" s="75"/>
      <c r="I112" s="74" t="str">
        <f t="shared" si="17"/>
        <v>-</v>
      </c>
      <c r="J112" s="74"/>
      <c r="K112" s="49"/>
      <c r="AA112" s="67" t="str">
        <f t="shared" si="10"/>
        <v>F</v>
      </c>
      <c r="AB112" s="67" t="str">
        <f t="shared" si="11"/>
        <v>F</v>
      </c>
      <c r="AC112" s="67" t="str">
        <f t="shared" si="12"/>
        <v>F</v>
      </c>
      <c r="AD112" s="67" t="str">
        <f t="shared" si="13"/>
        <v>F</v>
      </c>
      <c r="AE112" s="67" t="str">
        <f t="shared" si="14"/>
        <v>F</v>
      </c>
      <c r="AF112" s="67" t="str">
        <f t="shared" si="15"/>
        <v>F</v>
      </c>
    </row>
    <row r="113" spans="2:32" ht="18" customHeight="1" x14ac:dyDescent="0.4">
      <c r="B113" s="46"/>
      <c r="C113" s="47"/>
      <c r="D113" s="47"/>
      <c r="E113" s="54"/>
      <c r="F113" s="55"/>
      <c r="G113" s="46"/>
      <c r="H113" s="54"/>
      <c r="I113" s="47"/>
      <c r="J113" s="47"/>
      <c r="AA113" s="67" t="str">
        <f t="shared" si="10"/>
        <v>F</v>
      </c>
      <c r="AB113" s="67" t="str">
        <f t="shared" si="11"/>
        <v>F</v>
      </c>
      <c r="AC113" s="67" t="str">
        <f t="shared" si="12"/>
        <v>F</v>
      </c>
      <c r="AD113" s="67" t="str">
        <f t="shared" si="13"/>
        <v>F</v>
      </c>
      <c r="AE113" s="67" t="str">
        <f t="shared" si="14"/>
        <v>F</v>
      </c>
      <c r="AF113" s="67" t="str">
        <f t="shared" si="15"/>
        <v>F</v>
      </c>
    </row>
    <row r="114" spans="2:32" ht="18" customHeight="1" x14ac:dyDescent="0.4">
      <c r="AA114" s="67" t="str">
        <f t="shared" si="10"/>
        <v>F</v>
      </c>
      <c r="AB114" s="67" t="str">
        <f t="shared" si="11"/>
        <v>F</v>
      </c>
      <c r="AC114" s="67" t="str">
        <f t="shared" si="12"/>
        <v>F</v>
      </c>
      <c r="AD114" s="67" t="str">
        <f t="shared" si="13"/>
        <v>F</v>
      </c>
      <c r="AE114" s="67" t="str">
        <f t="shared" si="14"/>
        <v>F</v>
      </c>
      <c r="AF114" s="67" t="str">
        <f t="shared" si="15"/>
        <v>F</v>
      </c>
    </row>
    <row r="115" spans="2:32" ht="18" customHeight="1" x14ac:dyDescent="0.4">
      <c r="AA115" s="67" t="str">
        <f t="shared" si="10"/>
        <v>F</v>
      </c>
      <c r="AB115" s="67" t="str">
        <f t="shared" si="11"/>
        <v>F</v>
      </c>
      <c r="AC115" s="67" t="str">
        <f t="shared" si="12"/>
        <v>F</v>
      </c>
      <c r="AD115" s="67" t="str">
        <f t="shared" si="13"/>
        <v>F</v>
      </c>
      <c r="AE115" s="67" t="str">
        <f t="shared" si="14"/>
        <v>F</v>
      </c>
      <c r="AF115" s="67" t="str">
        <f t="shared" si="15"/>
        <v>F</v>
      </c>
    </row>
  </sheetData>
  <phoneticPr fontId="7" type="noConversion"/>
  <conditionalFormatting sqref="AA11:AB11">
    <cfRule type="expression" dxfId="2" priority="2">
      <formula>AD11="t"</formula>
    </cfRule>
  </conditionalFormatting>
  <conditionalFormatting sqref="AA11:AC11">
    <cfRule type="notContainsBlanks" dxfId="1" priority="1">
      <formula>LEN(TRIM(AA11))&gt;0</formula>
    </cfRule>
  </conditionalFormatting>
  <conditionalFormatting sqref="AC11">
    <cfRule type="expression" dxfId="0" priority="6">
      <formula>AE11="t"</formula>
    </cfRule>
  </conditionalFormatting>
  <dataValidations count="4">
    <dataValidation type="list" allowBlank="1" showInputMessage="1" showErrorMessage="1" sqref="E14:E112" xr:uid="{00000000-0002-0000-0000-000000000000}">
      <formula1>"야특근식비,회식비,접대비,교통비,통신비,사무비,출장일비,복리후생비,기타"</formula1>
    </dataValidation>
    <dataValidation type="list" allowBlank="1" showInputMessage="1" showErrorMessage="1" sqref="H14:H112" xr:uid="{00000000-0002-0000-0000-000001000000}">
      <formula1>"법인(법인),법인(개인),개인(개인),현금,기타"</formula1>
    </dataValidation>
    <dataValidation type="list" allowBlank="1" showInputMessage="1" showErrorMessage="1" sqref="C7" xr:uid="{00000000-0002-0000-0000-000002000000}">
      <formula1>"경영관리본부,전략사업그룹,기업사업1본부,기업사업2본부,전문위원"</formula1>
    </dataValidation>
    <dataValidation type="list" allowBlank="1" showInputMessage="1" showErrorMessage="1" sqref="C6" xr:uid="{00000000-0002-0000-0000-000003000000}">
      <formula1>"본부장,그룹장,위원,Unit장,매니저"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53"/>
  <sheetViews>
    <sheetView showGridLines="0" showZeros="0" zoomScaleNormal="100" workbookViewId="0">
      <selection sqref="A1:AB1"/>
    </sheetView>
  </sheetViews>
  <sheetFormatPr defaultColWidth="4.09765625" defaultRowHeight="15.6" x14ac:dyDescent="0.4"/>
  <cols>
    <col min="1" max="7" width="4.09765625" style="24" customWidth="1"/>
    <col min="8" max="9" width="3.8984375" style="24" customWidth="1"/>
    <col min="10" max="10" width="3.69921875" style="24" customWidth="1"/>
    <col min="11" max="11" width="10.19921875" style="24" customWidth="1"/>
    <col min="12" max="14" width="3.8984375" style="24" customWidth="1"/>
    <col min="15" max="15" width="3.69921875" style="24" customWidth="1"/>
    <col min="16" max="18" width="4.09765625" style="24" customWidth="1"/>
    <col min="19" max="23" width="4" style="24" customWidth="1"/>
    <col min="24" max="26" width="4.09765625" style="24" customWidth="1"/>
    <col min="27" max="27" width="5.09765625" style="24" customWidth="1"/>
    <col min="28" max="28" width="4.09765625" style="24" customWidth="1"/>
    <col min="29" max="16384" width="4.09765625" style="24"/>
  </cols>
  <sheetData>
    <row r="1" spans="1:28" s="1" customFormat="1" x14ac:dyDescent="0.4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</row>
    <row r="2" spans="1:28" s="1" customFormat="1" ht="8.25" customHeight="1" x14ac:dyDescent="0.4"/>
    <row r="3" spans="1:28" s="1" customFormat="1" ht="24.9" customHeight="1" x14ac:dyDescent="0.4">
      <c r="A3" s="91" t="s">
        <v>1</v>
      </c>
      <c r="B3" s="92" t="s">
        <v>2</v>
      </c>
      <c r="C3" s="92"/>
      <c r="D3" s="92" t="s">
        <v>54</v>
      </c>
      <c r="E3" s="92"/>
      <c r="F3" s="92" t="s">
        <v>56</v>
      </c>
      <c r="G3" s="92"/>
      <c r="H3" s="93"/>
      <c r="I3" s="94"/>
      <c r="J3" s="2"/>
      <c r="M3" s="119"/>
      <c r="N3" s="94"/>
      <c r="O3" s="2"/>
      <c r="R3" s="95"/>
      <c r="S3" s="3"/>
      <c r="X3" s="96" t="s">
        <v>3</v>
      </c>
      <c r="Y3" s="98" t="s">
        <v>2</v>
      </c>
      <c r="Z3" s="99"/>
      <c r="AA3" s="100" t="s">
        <v>57</v>
      </c>
      <c r="AB3" s="101"/>
    </row>
    <row r="4" spans="1:28" s="1" customFormat="1" ht="60" customHeight="1" x14ac:dyDescent="0.4">
      <c r="A4" s="92"/>
      <c r="B4" s="89"/>
      <c r="C4" s="89"/>
      <c r="D4" s="89"/>
      <c r="E4" s="89"/>
      <c r="F4" s="89"/>
      <c r="G4" s="89"/>
      <c r="H4" s="126"/>
      <c r="I4" s="121"/>
      <c r="M4" s="120"/>
      <c r="N4" s="121"/>
      <c r="R4" s="95"/>
      <c r="X4" s="97"/>
      <c r="Y4" s="4"/>
      <c r="Z4" s="5"/>
      <c r="AA4" s="4"/>
      <c r="AB4" s="5"/>
    </row>
    <row r="5" spans="1:28" s="1" customFormat="1" ht="8.25" customHeight="1" x14ac:dyDescent="0.4"/>
    <row r="6" spans="1:28" s="1" customFormat="1" ht="30" customHeight="1" x14ac:dyDescent="0.4">
      <c r="A6" s="127" t="s">
        <v>4</v>
      </c>
      <c r="B6" s="128"/>
      <c r="C6" s="129"/>
      <c r="D6" s="104" t="str">
        <f>'지출내역(홍길동)'!C7</f>
        <v>경영관리본부</v>
      </c>
      <c r="E6" s="104"/>
      <c r="F6" s="104"/>
      <c r="G6" s="104"/>
      <c r="H6" s="104"/>
      <c r="I6" s="104"/>
      <c r="J6" s="104"/>
      <c r="K6" s="127" t="s">
        <v>5</v>
      </c>
      <c r="L6" s="128"/>
      <c r="M6" s="128"/>
      <c r="N6" s="128"/>
      <c r="O6" s="128"/>
      <c r="P6" s="128"/>
      <c r="Q6" s="128"/>
      <c r="R6" s="129"/>
      <c r="S6" s="130" t="str">
        <f>'지출내역(홍길동)'!C9</f>
        <v>2025.12.31</v>
      </c>
      <c r="T6" s="131"/>
      <c r="U6" s="131"/>
      <c r="V6" s="131"/>
      <c r="W6" s="131"/>
      <c r="X6" s="131"/>
      <c r="Y6" s="131"/>
      <c r="Z6" s="131"/>
      <c r="AA6" s="131"/>
      <c r="AB6" s="132"/>
    </row>
    <row r="7" spans="1:28" s="1" customFormat="1" ht="30" customHeight="1" x14ac:dyDescent="0.4">
      <c r="A7" s="133" t="s">
        <v>6</v>
      </c>
      <c r="B7" s="102" t="s">
        <v>55</v>
      </c>
      <c r="C7" s="103"/>
      <c r="D7" s="104" t="str">
        <f ca="1">INDIRECT("'지출내역("&amp;$D8&amp;")'!C6")</f>
        <v>매니저</v>
      </c>
      <c r="E7" s="104"/>
      <c r="F7" s="104"/>
      <c r="G7" s="104"/>
      <c r="H7" s="104"/>
      <c r="I7" s="104"/>
      <c r="J7" s="104"/>
      <c r="K7" s="102" t="s">
        <v>20</v>
      </c>
      <c r="L7" s="135"/>
      <c r="M7" s="135"/>
      <c r="N7" s="135"/>
      <c r="O7" s="135"/>
      <c r="P7" s="135"/>
      <c r="Q7" s="135"/>
      <c r="R7" s="103"/>
      <c r="S7" s="89" t="str">
        <f ca="1">INDIRECT("'지출내역("&amp;$D8&amp;")'!I14")</f>
        <v>-</v>
      </c>
      <c r="T7" s="89"/>
      <c r="U7" s="89"/>
      <c r="V7" s="89"/>
      <c r="W7" s="89"/>
      <c r="X7" s="89"/>
      <c r="Y7" s="89"/>
      <c r="Z7" s="89"/>
      <c r="AA7" s="89"/>
      <c r="AB7" s="89"/>
    </row>
    <row r="8" spans="1:28" s="1" customFormat="1" ht="30" customHeight="1" x14ac:dyDescent="0.4">
      <c r="A8" s="134"/>
      <c r="B8" s="102" t="s">
        <v>7</v>
      </c>
      <c r="C8" s="103"/>
      <c r="D8" s="104" t="str">
        <f ca="1">MID(RIGHT(CELL("filename", A1), LEN(CELL("filename", A1))-FIND("]", CELL("filename", A1))), 7, 3)</f>
        <v>홍길동</v>
      </c>
      <c r="E8" s="104"/>
      <c r="F8" s="104"/>
      <c r="G8" s="104"/>
      <c r="H8" s="104"/>
      <c r="I8" s="104"/>
      <c r="J8" s="104"/>
      <c r="K8" s="89" t="s">
        <v>19</v>
      </c>
      <c r="L8" s="89"/>
      <c r="M8" s="89"/>
      <c r="N8" s="89"/>
      <c r="O8" s="89"/>
      <c r="P8" s="89"/>
      <c r="Q8" s="89"/>
      <c r="R8" s="89"/>
      <c r="S8" s="105">
        <f>'지출내역(홍길동)'!C8</f>
        <v>0</v>
      </c>
      <c r="T8" s="106"/>
      <c r="U8" s="106"/>
      <c r="V8" s="106"/>
      <c r="W8" s="106"/>
      <c r="X8" s="106"/>
      <c r="Y8" s="106"/>
      <c r="Z8" s="106"/>
      <c r="AA8" s="106"/>
      <c r="AB8" s="107"/>
    </row>
    <row r="9" spans="1:28" s="1" customFormat="1" ht="7.5" customHeight="1" x14ac:dyDescent="0.4"/>
    <row r="10" spans="1:28" s="9" customFormat="1" x14ac:dyDescent="0.4">
      <c r="A10" s="6" t="s">
        <v>8</v>
      </c>
      <c r="B10" s="6"/>
      <c r="C10" s="116">
        <f ca="1">T10</f>
        <v>0</v>
      </c>
      <c r="D10" s="116"/>
      <c r="E10" s="116"/>
      <c r="F10" s="116"/>
      <c r="G10" s="116"/>
      <c r="H10" s="116"/>
      <c r="I10" s="116"/>
      <c r="J10" s="116"/>
      <c r="K10" s="117"/>
      <c r="L10" s="117"/>
      <c r="M10" s="117"/>
      <c r="N10" s="117"/>
      <c r="O10" s="117"/>
      <c r="P10" s="117"/>
      <c r="Q10" s="7" t="s">
        <v>9</v>
      </c>
      <c r="R10" s="8"/>
      <c r="S10" s="6" t="s">
        <v>10</v>
      </c>
      <c r="T10" s="108">
        <f ca="1">SUM(Q15:U49)</f>
        <v>0</v>
      </c>
      <c r="U10" s="109"/>
      <c r="V10" s="109"/>
      <c r="W10" s="109"/>
      <c r="X10" s="109"/>
      <c r="Y10" s="109"/>
      <c r="Z10" s="109"/>
      <c r="AA10" s="109"/>
      <c r="AB10" s="7" t="s">
        <v>11</v>
      </c>
    </row>
    <row r="11" spans="1:28" s="1" customFormat="1" x14ac:dyDescent="0.4"/>
    <row r="12" spans="1:28" s="1" customFormat="1" ht="5.25" customHeight="1" x14ac:dyDescent="0.4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2"/>
    </row>
    <row r="13" spans="1:28" s="1" customFormat="1" ht="24.9" customHeight="1" x14ac:dyDescent="0.4">
      <c r="A13" s="13"/>
      <c r="B13" s="3" t="s">
        <v>12</v>
      </c>
      <c r="AB13" s="14"/>
    </row>
    <row r="14" spans="1:28" s="17" customFormat="1" ht="21.9" customHeight="1" x14ac:dyDescent="0.4">
      <c r="A14" s="15"/>
      <c r="B14" s="110" t="s">
        <v>13</v>
      </c>
      <c r="C14" s="111"/>
      <c r="D14" s="111"/>
      <c r="E14" s="111"/>
      <c r="F14" s="112"/>
      <c r="G14" s="110" t="s">
        <v>17</v>
      </c>
      <c r="H14" s="111"/>
      <c r="I14" s="111"/>
      <c r="J14" s="111"/>
      <c r="K14" s="112"/>
      <c r="L14" s="110" t="s">
        <v>18</v>
      </c>
      <c r="M14" s="111"/>
      <c r="N14" s="111"/>
      <c r="O14" s="111"/>
      <c r="P14" s="112"/>
      <c r="Q14" s="111" t="s">
        <v>14</v>
      </c>
      <c r="R14" s="111"/>
      <c r="S14" s="111"/>
      <c r="T14" s="111"/>
      <c r="U14" s="112"/>
      <c r="V14" s="113" t="s">
        <v>15</v>
      </c>
      <c r="W14" s="114"/>
      <c r="X14" s="114"/>
      <c r="Y14" s="114"/>
      <c r="Z14" s="114"/>
      <c r="AA14" s="115"/>
      <c r="AB14" s="16"/>
    </row>
    <row r="15" spans="1:28" s="20" customFormat="1" ht="21.9" customHeight="1" x14ac:dyDescent="0.4">
      <c r="A15" s="18">
        <v>14</v>
      </c>
      <c r="B15" s="83">
        <f ca="1">INDIRECT("'지출내역("&amp;$D$8&amp;")'!C"&amp;$A15)</f>
        <v>0</v>
      </c>
      <c r="C15" s="84"/>
      <c r="D15" s="84"/>
      <c r="E15" s="84"/>
      <c r="F15" s="85"/>
      <c r="G15" s="86">
        <f ca="1">INDIRECT("'지출내역("&amp;$D$8&amp;")'!D"&amp;$A15)</f>
        <v>0</v>
      </c>
      <c r="H15" s="87"/>
      <c r="I15" s="87"/>
      <c r="J15" s="87"/>
      <c r="K15" s="88"/>
      <c r="L15" s="86">
        <f ca="1">INDIRECT("'지출내역("&amp;$D$8&amp;")'!E"&amp;$A15)</f>
        <v>0</v>
      </c>
      <c r="M15" s="87"/>
      <c r="N15" s="87"/>
      <c r="O15" s="87"/>
      <c r="P15" s="88"/>
      <c r="Q15" s="77">
        <f ca="1">INDIRECT("'지출내역("&amp;$D$8&amp;")'!F"&amp;$A15)</f>
        <v>0</v>
      </c>
      <c r="R15" s="78"/>
      <c r="S15" s="78"/>
      <c r="T15" s="78"/>
      <c r="U15" s="79"/>
      <c r="V15" s="80">
        <f ca="1">INDIRECT("'지출내역("&amp;$D$8&amp;")'!G"&amp;$A15)</f>
        <v>0</v>
      </c>
      <c r="W15" s="81"/>
      <c r="X15" s="81"/>
      <c r="Y15" s="81"/>
      <c r="Z15" s="81"/>
      <c r="AA15" s="82"/>
      <c r="AB15" s="19"/>
    </row>
    <row r="16" spans="1:28" s="20" customFormat="1" ht="21.9" customHeight="1" x14ac:dyDescent="0.4">
      <c r="A16" s="18">
        <v>15</v>
      </c>
      <c r="B16" s="83">
        <f t="shared" ref="B16:B49" ca="1" si="0">INDIRECT("'지출내역("&amp;$D$8&amp;")'!C"&amp;$A16)</f>
        <v>0</v>
      </c>
      <c r="C16" s="84"/>
      <c r="D16" s="84"/>
      <c r="E16" s="84"/>
      <c r="F16" s="85"/>
      <c r="G16" s="86">
        <f t="shared" ref="G16:G49" ca="1" si="1">INDIRECT("'지출내역("&amp;$D$8&amp;")'!D"&amp;$A16)</f>
        <v>0</v>
      </c>
      <c r="H16" s="87"/>
      <c r="I16" s="87"/>
      <c r="J16" s="87"/>
      <c r="K16" s="88"/>
      <c r="L16" s="86">
        <f t="shared" ref="L16:L49" ca="1" si="2">INDIRECT("'지출내역("&amp;$D$8&amp;")'!E"&amp;$A16)</f>
        <v>0</v>
      </c>
      <c r="M16" s="87"/>
      <c r="N16" s="87"/>
      <c r="O16" s="87"/>
      <c r="P16" s="88"/>
      <c r="Q16" s="77">
        <f t="shared" ref="Q16:Q49" ca="1" si="3">INDIRECT("'지출내역("&amp;$D$8&amp;")'!F"&amp;$A16)</f>
        <v>0</v>
      </c>
      <c r="R16" s="78"/>
      <c r="S16" s="78"/>
      <c r="T16" s="78"/>
      <c r="U16" s="79"/>
      <c r="V16" s="80">
        <f t="shared" ref="V16:V49" ca="1" si="4">INDIRECT("'지출내역("&amp;$D$8&amp;")'!G"&amp;$A16)</f>
        <v>0</v>
      </c>
      <c r="W16" s="81"/>
      <c r="X16" s="81"/>
      <c r="Y16" s="81"/>
      <c r="Z16" s="81"/>
      <c r="AA16" s="82"/>
      <c r="AB16" s="19"/>
    </row>
    <row r="17" spans="1:28" s="20" customFormat="1" ht="21.9" customHeight="1" x14ac:dyDescent="0.4">
      <c r="A17" s="18">
        <v>16</v>
      </c>
      <c r="B17" s="83">
        <f t="shared" ca="1" si="0"/>
        <v>0</v>
      </c>
      <c r="C17" s="84"/>
      <c r="D17" s="84"/>
      <c r="E17" s="84"/>
      <c r="F17" s="85"/>
      <c r="G17" s="86">
        <f t="shared" ca="1" si="1"/>
        <v>0</v>
      </c>
      <c r="H17" s="87"/>
      <c r="I17" s="87"/>
      <c r="J17" s="87"/>
      <c r="K17" s="88"/>
      <c r="L17" s="86">
        <f t="shared" ca="1" si="2"/>
        <v>0</v>
      </c>
      <c r="M17" s="87"/>
      <c r="N17" s="87"/>
      <c r="O17" s="87"/>
      <c r="P17" s="88"/>
      <c r="Q17" s="77">
        <f t="shared" ca="1" si="3"/>
        <v>0</v>
      </c>
      <c r="R17" s="78"/>
      <c r="S17" s="78"/>
      <c r="T17" s="78"/>
      <c r="U17" s="79"/>
      <c r="V17" s="80">
        <f t="shared" ca="1" si="4"/>
        <v>0</v>
      </c>
      <c r="W17" s="81"/>
      <c r="X17" s="81"/>
      <c r="Y17" s="81"/>
      <c r="Z17" s="81"/>
      <c r="AA17" s="82"/>
      <c r="AB17" s="19"/>
    </row>
    <row r="18" spans="1:28" s="20" customFormat="1" ht="21.9" customHeight="1" x14ac:dyDescent="0.4">
      <c r="A18" s="18">
        <v>17</v>
      </c>
      <c r="B18" s="83">
        <f t="shared" ca="1" si="0"/>
        <v>0</v>
      </c>
      <c r="C18" s="84"/>
      <c r="D18" s="84"/>
      <c r="E18" s="84"/>
      <c r="F18" s="85"/>
      <c r="G18" s="86">
        <f t="shared" ca="1" si="1"/>
        <v>0</v>
      </c>
      <c r="H18" s="87"/>
      <c r="I18" s="87"/>
      <c r="J18" s="87"/>
      <c r="K18" s="88"/>
      <c r="L18" s="86">
        <f t="shared" ca="1" si="2"/>
        <v>0</v>
      </c>
      <c r="M18" s="87"/>
      <c r="N18" s="87"/>
      <c r="O18" s="87"/>
      <c r="P18" s="88"/>
      <c r="Q18" s="77">
        <f t="shared" ca="1" si="3"/>
        <v>0</v>
      </c>
      <c r="R18" s="78"/>
      <c r="S18" s="78"/>
      <c r="T18" s="78"/>
      <c r="U18" s="79"/>
      <c r="V18" s="80">
        <f t="shared" ca="1" si="4"/>
        <v>0</v>
      </c>
      <c r="W18" s="81"/>
      <c r="X18" s="81"/>
      <c r="Y18" s="81"/>
      <c r="Z18" s="81"/>
      <c r="AA18" s="82"/>
      <c r="AB18" s="19"/>
    </row>
    <row r="19" spans="1:28" s="1" customFormat="1" ht="21.9" customHeight="1" x14ac:dyDescent="0.4">
      <c r="A19" s="18">
        <v>18</v>
      </c>
      <c r="B19" s="83">
        <f t="shared" ca="1" si="0"/>
        <v>0</v>
      </c>
      <c r="C19" s="84"/>
      <c r="D19" s="84"/>
      <c r="E19" s="84"/>
      <c r="F19" s="85"/>
      <c r="G19" s="86">
        <f t="shared" ca="1" si="1"/>
        <v>0</v>
      </c>
      <c r="H19" s="87"/>
      <c r="I19" s="87"/>
      <c r="J19" s="87"/>
      <c r="K19" s="88"/>
      <c r="L19" s="86">
        <f t="shared" ca="1" si="2"/>
        <v>0</v>
      </c>
      <c r="M19" s="87"/>
      <c r="N19" s="87"/>
      <c r="O19" s="87"/>
      <c r="P19" s="88"/>
      <c r="Q19" s="77">
        <f t="shared" ca="1" si="3"/>
        <v>0</v>
      </c>
      <c r="R19" s="78"/>
      <c r="S19" s="78"/>
      <c r="T19" s="78"/>
      <c r="U19" s="79"/>
      <c r="V19" s="80">
        <f t="shared" ca="1" si="4"/>
        <v>0</v>
      </c>
      <c r="W19" s="81"/>
      <c r="X19" s="81"/>
      <c r="Y19" s="81"/>
      <c r="Z19" s="81"/>
      <c r="AA19" s="82"/>
      <c r="AB19" s="14"/>
    </row>
    <row r="20" spans="1:28" s="1" customFormat="1" ht="21.9" customHeight="1" x14ac:dyDescent="0.4">
      <c r="A20" s="18">
        <v>19</v>
      </c>
      <c r="B20" s="83">
        <f t="shared" ca="1" si="0"/>
        <v>0</v>
      </c>
      <c r="C20" s="84"/>
      <c r="D20" s="84"/>
      <c r="E20" s="84"/>
      <c r="F20" s="85"/>
      <c r="G20" s="86">
        <f t="shared" ca="1" si="1"/>
        <v>0</v>
      </c>
      <c r="H20" s="87"/>
      <c r="I20" s="87"/>
      <c r="J20" s="87"/>
      <c r="K20" s="88"/>
      <c r="L20" s="86">
        <f t="shared" ca="1" si="2"/>
        <v>0</v>
      </c>
      <c r="M20" s="87"/>
      <c r="N20" s="87"/>
      <c r="O20" s="87"/>
      <c r="P20" s="88"/>
      <c r="Q20" s="77">
        <f t="shared" ca="1" si="3"/>
        <v>0</v>
      </c>
      <c r="R20" s="78"/>
      <c r="S20" s="78"/>
      <c r="T20" s="78"/>
      <c r="U20" s="79"/>
      <c r="V20" s="80">
        <f t="shared" ca="1" si="4"/>
        <v>0</v>
      </c>
      <c r="W20" s="81"/>
      <c r="X20" s="81"/>
      <c r="Y20" s="81"/>
      <c r="Z20" s="81"/>
      <c r="AA20" s="82"/>
      <c r="AB20" s="14"/>
    </row>
    <row r="21" spans="1:28" s="20" customFormat="1" ht="21.9" customHeight="1" x14ac:dyDescent="0.4">
      <c r="A21" s="18">
        <v>20</v>
      </c>
      <c r="B21" s="83">
        <f t="shared" ca="1" si="0"/>
        <v>0</v>
      </c>
      <c r="C21" s="84"/>
      <c r="D21" s="84"/>
      <c r="E21" s="84"/>
      <c r="F21" s="85"/>
      <c r="G21" s="86">
        <f t="shared" ca="1" si="1"/>
        <v>0</v>
      </c>
      <c r="H21" s="87"/>
      <c r="I21" s="87"/>
      <c r="J21" s="87"/>
      <c r="K21" s="88"/>
      <c r="L21" s="86">
        <f t="shared" ca="1" si="2"/>
        <v>0</v>
      </c>
      <c r="M21" s="87"/>
      <c r="N21" s="87"/>
      <c r="O21" s="87"/>
      <c r="P21" s="88"/>
      <c r="Q21" s="77">
        <f t="shared" ca="1" si="3"/>
        <v>0</v>
      </c>
      <c r="R21" s="78"/>
      <c r="S21" s="78"/>
      <c r="T21" s="78"/>
      <c r="U21" s="79"/>
      <c r="V21" s="80">
        <f t="shared" ca="1" si="4"/>
        <v>0</v>
      </c>
      <c r="W21" s="81"/>
      <c r="X21" s="81"/>
      <c r="Y21" s="81"/>
      <c r="Z21" s="81"/>
      <c r="AA21" s="82"/>
      <c r="AB21" s="19"/>
    </row>
    <row r="22" spans="1:28" s="20" customFormat="1" ht="21.9" customHeight="1" x14ac:dyDescent="0.4">
      <c r="A22" s="18">
        <v>21</v>
      </c>
      <c r="B22" s="83">
        <f t="shared" ca="1" si="0"/>
        <v>0</v>
      </c>
      <c r="C22" s="84"/>
      <c r="D22" s="84"/>
      <c r="E22" s="84"/>
      <c r="F22" s="85"/>
      <c r="G22" s="86">
        <f t="shared" ca="1" si="1"/>
        <v>0</v>
      </c>
      <c r="H22" s="87"/>
      <c r="I22" s="87"/>
      <c r="J22" s="87"/>
      <c r="K22" s="88"/>
      <c r="L22" s="86">
        <f t="shared" ca="1" si="2"/>
        <v>0</v>
      </c>
      <c r="M22" s="87"/>
      <c r="N22" s="87"/>
      <c r="O22" s="87"/>
      <c r="P22" s="88"/>
      <c r="Q22" s="77">
        <f t="shared" ca="1" si="3"/>
        <v>0</v>
      </c>
      <c r="R22" s="78"/>
      <c r="S22" s="78"/>
      <c r="T22" s="78"/>
      <c r="U22" s="79"/>
      <c r="V22" s="80">
        <f t="shared" ca="1" si="4"/>
        <v>0</v>
      </c>
      <c r="W22" s="81"/>
      <c r="X22" s="81"/>
      <c r="Y22" s="81"/>
      <c r="Z22" s="81"/>
      <c r="AA22" s="82"/>
      <c r="AB22" s="19"/>
    </row>
    <row r="23" spans="1:28" s="1" customFormat="1" ht="21.9" customHeight="1" x14ac:dyDescent="0.4">
      <c r="A23" s="18">
        <v>22</v>
      </c>
      <c r="B23" s="83">
        <f t="shared" ca="1" si="0"/>
        <v>0</v>
      </c>
      <c r="C23" s="84"/>
      <c r="D23" s="84"/>
      <c r="E23" s="84"/>
      <c r="F23" s="85"/>
      <c r="G23" s="86">
        <f t="shared" ca="1" si="1"/>
        <v>0</v>
      </c>
      <c r="H23" s="87"/>
      <c r="I23" s="87"/>
      <c r="J23" s="87"/>
      <c r="K23" s="88"/>
      <c r="L23" s="86">
        <f t="shared" ca="1" si="2"/>
        <v>0</v>
      </c>
      <c r="M23" s="87"/>
      <c r="N23" s="87"/>
      <c r="O23" s="87"/>
      <c r="P23" s="88"/>
      <c r="Q23" s="77">
        <f t="shared" ca="1" si="3"/>
        <v>0</v>
      </c>
      <c r="R23" s="78"/>
      <c r="S23" s="78"/>
      <c r="T23" s="78"/>
      <c r="U23" s="79"/>
      <c r="V23" s="80">
        <f t="shared" ca="1" si="4"/>
        <v>0</v>
      </c>
      <c r="W23" s="81"/>
      <c r="X23" s="81"/>
      <c r="Y23" s="81"/>
      <c r="Z23" s="81"/>
      <c r="AA23" s="82"/>
      <c r="AB23" s="14"/>
    </row>
    <row r="24" spans="1:28" s="1" customFormat="1" ht="21.9" customHeight="1" x14ac:dyDescent="0.4">
      <c r="A24" s="18">
        <v>23</v>
      </c>
      <c r="B24" s="83">
        <f t="shared" ca="1" si="0"/>
        <v>0</v>
      </c>
      <c r="C24" s="84"/>
      <c r="D24" s="84"/>
      <c r="E24" s="84"/>
      <c r="F24" s="85"/>
      <c r="G24" s="86">
        <f t="shared" ca="1" si="1"/>
        <v>0</v>
      </c>
      <c r="H24" s="87"/>
      <c r="I24" s="87"/>
      <c r="J24" s="87"/>
      <c r="K24" s="88"/>
      <c r="L24" s="86">
        <f t="shared" ca="1" si="2"/>
        <v>0</v>
      </c>
      <c r="M24" s="87"/>
      <c r="N24" s="87"/>
      <c r="O24" s="87"/>
      <c r="P24" s="88"/>
      <c r="Q24" s="77">
        <f t="shared" ca="1" si="3"/>
        <v>0</v>
      </c>
      <c r="R24" s="78"/>
      <c r="S24" s="78"/>
      <c r="T24" s="78"/>
      <c r="U24" s="79"/>
      <c r="V24" s="80">
        <f t="shared" ca="1" si="4"/>
        <v>0</v>
      </c>
      <c r="W24" s="81"/>
      <c r="X24" s="81"/>
      <c r="Y24" s="81"/>
      <c r="Z24" s="81"/>
      <c r="AA24" s="82"/>
      <c r="AB24" s="14"/>
    </row>
    <row r="25" spans="1:28" s="1" customFormat="1" ht="21.9" customHeight="1" x14ac:dyDescent="0.4">
      <c r="A25" s="18">
        <v>24</v>
      </c>
      <c r="B25" s="83">
        <f t="shared" ca="1" si="0"/>
        <v>0</v>
      </c>
      <c r="C25" s="84"/>
      <c r="D25" s="84"/>
      <c r="E25" s="84"/>
      <c r="F25" s="85"/>
      <c r="G25" s="86">
        <f t="shared" ca="1" si="1"/>
        <v>0</v>
      </c>
      <c r="H25" s="87"/>
      <c r="I25" s="87"/>
      <c r="J25" s="87"/>
      <c r="K25" s="88"/>
      <c r="L25" s="86">
        <f t="shared" ca="1" si="2"/>
        <v>0</v>
      </c>
      <c r="M25" s="87"/>
      <c r="N25" s="87"/>
      <c r="O25" s="87"/>
      <c r="P25" s="88"/>
      <c r="Q25" s="77">
        <f t="shared" ca="1" si="3"/>
        <v>0</v>
      </c>
      <c r="R25" s="78"/>
      <c r="S25" s="78"/>
      <c r="T25" s="78"/>
      <c r="U25" s="79"/>
      <c r="V25" s="80">
        <f t="shared" ca="1" si="4"/>
        <v>0</v>
      </c>
      <c r="W25" s="81"/>
      <c r="X25" s="81"/>
      <c r="Y25" s="81"/>
      <c r="Z25" s="81"/>
      <c r="AA25" s="82"/>
      <c r="AB25" s="14"/>
    </row>
    <row r="26" spans="1:28" s="1" customFormat="1" ht="21.9" customHeight="1" x14ac:dyDescent="0.4">
      <c r="A26" s="18">
        <v>25</v>
      </c>
      <c r="B26" s="83">
        <f t="shared" ca="1" si="0"/>
        <v>0</v>
      </c>
      <c r="C26" s="84"/>
      <c r="D26" s="84"/>
      <c r="E26" s="84"/>
      <c r="F26" s="85"/>
      <c r="G26" s="86">
        <f t="shared" ca="1" si="1"/>
        <v>0</v>
      </c>
      <c r="H26" s="87"/>
      <c r="I26" s="87"/>
      <c r="J26" s="87"/>
      <c r="K26" s="88"/>
      <c r="L26" s="86">
        <f t="shared" ca="1" si="2"/>
        <v>0</v>
      </c>
      <c r="M26" s="87"/>
      <c r="N26" s="87"/>
      <c r="O26" s="87"/>
      <c r="P26" s="88"/>
      <c r="Q26" s="77">
        <f t="shared" ca="1" si="3"/>
        <v>0</v>
      </c>
      <c r="R26" s="78"/>
      <c r="S26" s="78"/>
      <c r="T26" s="78"/>
      <c r="U26" s="79"/>
      <c r="V26" s="80">
        <f t="shared" ca="1" si="4"/>
        <v>0</v>
      </c>
      <c r="W26" s="81"/>
      <c r="X26" s="81"/>
      <c r="Y26" s="81"/>
      <c r="Z26" s="81"/>
      <c r="AA26" s="82"/>
      <c r="AB26" s="14"/>
    </row>
    <row r="27" spans="1:28" s="1" customFormat="1" ht="21.9" customHeight="1" x14ac:dyDescent="0.4">
      <c r="A27" s="18">
        <v>26</v>
      </c>
      <c r="B27" s="83">
        <f t="shared" ca="1" si="0"/>
        <v>0</v>
      </c>
      <c r="C27" s="84"/>
      <c r="D27" s="84"/>
      <c r="E27" s="84"/>
      <c r="F27" s="85"/>
      <c r="G27" s="86">
        <f t="shared" ca="1" si="1"/>
        <v>0</v>
      </c>
      <c r="H27" s="87"/>
      <c r="I27" s="87"/>
      <c r="J27" s="87"/>
      <c r="K27" s="88"/>
      <c r="L27" s="86">
        <f t="shared" ca="1" si="2"/>
        <v>0</v>
      </c>
      <c r="M27" s="87"/>
      <c r="N27" s="87"/>
      <c r="O27" s="87"/>
      <c r="P27" s="88"/>
      <c r="Q27" s="77">
        <f t="shared" ca="1" si="3"/>
        <v>0</v>
      </c>
      <c r="R27" s="78"/>
      <c r="S27" s="78"/>
      <c r="T27" s="78"/>
      <c r="U27" s="79"/>
      <c r="V27" s="80">
        <f t="shared" ca="1" si="4"/>
        <v>0</v>
      </c>
      <c r="W27" s="81"/>
      <c r="X27" s="81"/>
      <c r="Y27" s="81"/>
      <c r="Z27" s="81"/>
      <c r="AA27" s="82"/>
      <c r="AB27" s="14"/>
    </row>
    <row r="28" spans="1:28" s="1" customFormat="1" ht="21.9" customHeight="1" x14ac:dyDescent="0.4">
      <c r="A28" s="18">
        <v>27</v>
      </c>
      <c r="B28" s="83">
        <f t="shared" ca="1" si="0"/>
        <v>0</v>
      </c>
      <c r="C28" s="84"/>
      <c r="D28" s="84"/>
      <c r="E28" s="84"/>
      <c r="F28" s="85"/>
      <c r="G28" s="86">
        <f t="shared" ca="1" si="1"/>
        <v>0</v>
      </c>
      <c r="H28" s="87"/>
      <c r="I28" s="87"/>
      <c r="J28" s="87"/>
      <c r="K28" s="88"/>
      <c r="L28" s="86">
        <f t="shared" ca="1" si="2"/>
        <v>0</v>
      </c>
      <c r="M28" s="87"/>
      <c r="N28" s="87"/>
      <c r="O28" s="87"/>
      <c r="P28" s="88"/>
      <c r="Q28" s="77">
        <f t="shared" ca="1" si="3"/>
        <v>0</v>
      </c>
      <c r="R28" s="78"/>
      <c r="S28" s="78"/>
      <c r="T28" s="78"/>
      <c r="U28" s="79"/>
      <c r="V28" s="80">
        <f t="shared" ca="1" si="4"/>
        <v>0</v>
      </c>
      <c r="W28" s="81"/>
      <c r="X28" s="81"/>
      <c r="Y28" s="81"/>
      <c r="Z28" s="81"/>
      <c r="AA28" s="82"/>
      <c r="AB28" s="14"/>
    </row>
    <row r="29" spans="1:28" s="1" customFormat="1" ht="21.9" customHeight="1" x14ac:dyDescent="0.4">
      <c r="A29" s="18">
        <v>28</v>
      </c>
      <c r="B29" s="83">
        <f t="shared" ca="1" si="0"/>
        <v>0</v>
      </c>
      <c r="C29" s="84"/>
      <c r="D29" s="84"/>
      <c r="E29" s="84"/>
      <c r="F29" s="85"/>
      <c r="G29" s="86">
        <f t="shared" ca="1" si="1"/>
        <v>0</v>
      </c>
      <c r="H29" s="87"/>
      <c r="I29" s="87"/>
      <c r="J29" s="87"/>
      <c r="K29" s="88"/>
      <c r="L29" s="86">
        <f t="shared" ca="1" si="2"/>
        <v>0</v>
      </c>
      <c r="M29" s="87"/>
      <c r="N29" s="87"/>
      <c r="O29" s="87"/>
      <c r="P29" s="88"/>
      <c r="Q29" s="77">
        <f t="shared" ca="1" si="3"/>
        <v>0</v>
      </c>
      <c r="R29" s="78"/>
      <c r="S29" s="78"/>
      <c r="T29" s="78"/>
      <c r="U29" s="79"/>
      <c r="V29" s="80">
        <f t="shared" ca="1" si="4"/>
        <v>0</v>
      </c>
      <c r="W29" s="81"/>
      <c r="X29" s="81"/>
      <c r="Y29" s="81"/>
      <c r="Z29" s="81"/>
      <c r="AA29" s="82"/>
      <c r="AB29" s="14"/>
    </row>
    <row r="30" spans="1:28" s="1" customFormat="1" ht="21.9" customHeight="1" x14ac:dyDescent="0.4">
      <c r="A30" s="18">
        <v>29</v>
      </c>
      <c r="B30" s="83">
        <f t="shared" ca="1" si="0"/>
        <v>0</v>
      </c>
      <c r="C30" s="84"/>
      <c r="D30" s="84"/>
      <c r="E30" s="84"/>
      <c r="F30" s="85"/>
      <c r="G30" s="86">
        <f t="shared" ca="1" si="1"/>
        <v>0</v>
      </c>
      <c r="H30" s="87"/>
      <c r="I30" s="87"/>
      <c r="J30" s="87"/>
      <c r="K30" s="88"/>
      <c r="L30" s="86">
        <f t="shared" ca="1" si="2"/>
        <v>0</v>
      </c>
      <c r="M30" s="87"/>
      <c r="N30" s="87"/>
      <c r="O30" s="87"/>
      <c r="P30" s="88"/>
      <c r="Q30" s="77">
        <f t="shared" ca="1" si="3"/>
        <v>0</v>
      </c>
      <c r="R30" s="78"/>
      <c r="S30" s="78"/>
      <c r="T30" s="78"/>
      <c r="U30" s="79"/>
      <c r="V30" s="80">
        <f t="shared" ca="1" si="4"/>
        <v>0</v>
      </c>
      <c r="W30" s="81"/>
      <c r="X30" s="81"/>
      <c r="Y30" s="81"/>
      <c r="Z30" s="81"/>
      <c r="AA30" s="82"/>
      <c r="AB30" s="14"/>
    </row>
    <row r="31" spans="1:28" s="1" customFormat="1" ht="21.9" customHeight="1" x14ac:dyDescent="0.4">
      <c r="A31" s="18">
        <v>30</v>
      </c>
      <c r="B31" s="83">
        <f t="shared" ca="1" si="0"/>
        <v>0</v>
      </c>
      <c r="C31" s="84"/>
      <c r="D31" s="84"/>
      <c r="E31" s="84"/>
      <c r="F31" s="85"/>
      <c r="G31" s="86">
        <f t="shared" ca="1" si="1"/>
        <v>0</v>
      </c>
      <c r="H31" s="87"/>
      <c r="I31" s="87"/>
      <c r="J31" s="87"/>
      <c r="K31" s="88"/>
      <c r="L31" s="86">
        <f t="shared" ca="1" si="2"/>
        <v>0</v>
      </c>
      <c r="M31" s="87"/>
      <c r="N31" s="87"/>
      <c r="O31" s="87"/>
      <c r="P31" s="88"/>
      <c r="Q31" s="77">
        <f t="shared" ca="1" si="3"/>
        <v>0</v>
      </c>
      <c r="R31" s="78"/>
      <c r="S31" s="78"/>
      <c r="T31" s="78"/>
      <c r="U31" s="79"/>
      <c r="V31" s="80">
        <f t="shared" ca="1" si="4"/>
        <v>0</v>
      </c>
      <c r="W31" s="81"/>
      <c r="X31" s="81"/>
      <c r="Y31" s="81"/>
      <c r="Z31" s="81"/>
      <c r="AA31" s="82"/>
      <c r="AB31" s="14"/>
    </row>
    <row r="32" spans="1:28" s="20" customFormat="1" ht="21.9" customHeight="1" x14ac:dyDescent="0.4">
      <c r="A32" s="18">
        <v>31</v>
      </c>
      <c r="B32" s="83">
        <f t="shared" ca="1" si="0"/>
        <v>0</v>
      </c>
      <c r="C32" s="84"/>
      <c r="D32" s="84"/>
      <c r="E32" s="84"/>
      <c r="F32" s="85"/>
      <c r="G32" s="86">
        <f t="shared" ca="1" si="1"/>
        <v>0</v>
      </c>
      <c r="H32" s="87"/>
      <c r="I32" s="87"/>
      <c r="J32" s="87"/>
      <c r="K32" s="88"/>
      <c r="L32" s="86">
        <f t="shared" ca="1" si="2"/>
        <v>0</v>
      </c>
      <c r="M32" s="87"/>
      <c r="N32" s="87"/>
      <c r="O32" s="87"/>
      <c r="P32" s="88"/>
      <c r="Q32" s="77">
        <f t="shared" ca="1" si="3"/>
        <v>0</v>
      </c>
      <c r="R32" s="78"/>
      <c r="S32" s="78"/>
      <c r="T32" s="78"/>
      <c r="U32" s="79"/>
      <c r="V32" s="80">
        <f t="shared" ca="1" si="4"/>
        <v>0</v>
      </c>
      <c r="W32" s="81"/>
      <c r="X32" s="81"/>
      <c r="Y32" s="81"/>
      <c r="Z32" s="81"/>
      <c r="AA32" s="82"/>
      <c r="AB32" s="19"/>
    </row>
    <row r="33" spans="1:28" s="20" customFormat="1" ht="21.9" customHeight="1" x14ac:dyDescent="0.4">
      <c r="A33" s="18">
        <v>32</v>
      </c>
      <c r="B33" s="83">
        <f t="shared" ca="1" si="0"/>
        <v>0</v>
      </c>
      <c r="C33" s="84"/>
      <c r="D33" s="84"/>
      <c r="E33" s="84"/>
      <c r="F33" s="85"/>
      <c r="G33" s="86">
        <f t="shared" ca="1" si="1"/>
        <v>0</v>
      </c>
      <c r="H33" s="87"/>
      <c r="I33" s="87"/>
      <c r="J33" s="87"/>
      <c r="K33" s="88"/>
      <c r="L33" s="86">
        <f t="shared" ca="1" si="2"/>
        <v>0</v>
      </c>
      <c r="M33" s="87"/>
      <c r="N33" s="87"/>
      <c r="O33" s="87"/>
      <c r="P33" s="88"/>
      <c r="Q33" s="77">
        <f t="shared" ca="1" si="3"/>
        <v>0</v>
      </c>
      <c r="R33" s="78"/>
      <c r="S33" s="78"/>
      <c r="T33" s="78"/>
      <c r="U33" s="79"/>
      <c r="V33" s="80">
        <f t="shared" ca="1" si="4"/>
        <v>0</v>
      </c>
      <c r="W33" s="81"/>
      <c r="X33" s="81"/>
      <c r="Y33" s="81"/>
      <c r="Z33" s="81"/>
      <c r="AA33" s="82"/>
      <c r="AB33" s="19"/>
    </row>
    <row r="34" spans="1:28" s="1" customFormat="1" ht="21.9" customHeight="1" x14ac:dyDescent="0.4">
      <c r="A34" s="18">
        <v>33</v>
      </c>
      <c r="B34" s="83">
        <f t="shared" ca="1" si="0"/>
        <v>0</v>
      </c>
      <c r="C34" s="84"/>
      <c r="D34" s="84"/>
      <c r="E34" s="84"/>
      <c r="F34" s="85"/>
      <c r="G34" s="86">
        <f t="shared" ca="1" si="1"/>
        <v>0</v>
      </c>
      <c r="H34" s="87"/>
      <c r="I34" s="87"/>
      <c r="J34" s="87"/>
      <c r="K34" s="88"/>
      <c r="L34" s="86">
        <f t="shared" ca="1" si="2"/>
        <v>0</v>
      </c>
      <c r="M34" s="87"/>
      <c r="N34" s="87"/>
      <c r="O34" s="87"/>
      <c r="P34" s="88"/>
      <c r="Q34" s="77">
        <f t="shared" ca="1" si="3"/>
        <v>0</v>
      </c>
      <c r="R34" s="78"/>
      <c r="S34" s="78"/>
      <c r="T34" s="78"/>
      <c r="U34" s="79"/>
      <c r="V34" s="80">
        <f t="shared" ca="1" si="4"/>
        <v>0</v>
      </c>
      <c r="W34" s="81"/>
      <c r="X34" s="81"/>
      <c r="Y34" s="81"/>
      <c r="Z34" s="81"/>
      <c r="AA34" s="82"/>
      <c r="AB34" s="14"/>
    </row>
    <row r="35" spans="1:28" s="1" customFormat="1" ht="21.9" customHeight="1" x14ac:dyDescent="0.4">
      <c r="A35" s="18">
        <v>34</v>
      </c>
      <c r="B35" s="83">
        <f t="shared" ca="1" si="0"/>
        <v>0</v>
      </c>
      <c r="C35" s="84"/>
      <c r="D35" s="84"/>
      <c r="E35" s="84"/>
      <c r="F35" s="85"/>
      <c r="G35" s="86">
        <f t="shared" ca="1" si="1"/>
        <v>0</v>
      </c>
      <c r="H35" s="87"/>
      <c r="I35" s="87"/>
      <c r="J35" s="87"/>
      <c r="K35" s="88"/>
      <c r="L35" s="86">
        <f t="shared" ca="1" si="2"/>
        <v>0</v>
      </c>
      <c r="M35" s="87"/>
      <c r="N35" s="87"/>
      <c r="O35" s="87"/>
      <c r="P35" s="88"/>
      <c r="Q35" s="77">
        <f t="shared" ca="1" si="3"/>
        <v>0</v>
      </c>
      <c r="R35" s="78"/>
      <c r="S35" s="78"/>
      <c r="T35" s="78"/>
      <c r="U35" s="79"/>
      <c r="V35" s="80">
        <f t="shared" ca="1" si="4"/>
        <v>0</v>
      </c>
      <c r="W35" s="81"/>
      <c r="X35" s="81"/>
      <c r="Y35" s="81"/>
      <c r="Z35" s="81"/>
      <c r="AA35" s="82"/>
      <c r="AB35" s="14"/>
    </row>
    <row r="36" spans="1:28" s="20" customFormat="1" ht="21.9" customHeight="1" x14ac:dyDescent="0.4">
      <c r="A36" s="18">
        <v>35</v>
      </c>
      <c r="B36" s="83">
        <f t="shared" ca="1" si="0"/>
        <v>0</v>
      </c>
      <c r="C36" s="84"/>
      <c r="D36" s="84"/>
      <c r="E36" s="84"/>
      <c r="F36" s="85"/>
      <c r="G36" s="86">
        <f t="shared" ca="1" si="1"/>
        <v>0</v>
      </c>
      <c r="H36" s="87"/>
      <c r="I36" s="87"/>
      <c r="J36" s="87"/>
      <c r="K36" s="88"/>
      <c r="L36" s="86">
        <f t="shared" ca="1" si="2"/>
        <v>0</v>
      </c>
      <c r="M36" s="87"/>
      <c r="N36" s="87"/>
      <c r="O36" s="87"/>
      <c r="P36" s="88"/>
      <c r="Q36" s="77">
        <f t="shared" ca="1" si="3"/>
        <v>0</v>
      </c>
      <c r="R36" s="78"/>
      <c r="S36" s="78"/>
      <c r="T36" s="78"/>
      <c r="U36" s="79"/>
      <c r="V36" s="80">
        <f t="shared" ca="1" si="4"/>
        <v>0</v>
      </c>
      <c r="W36" s="81"/>
      <c r="X36" s="81"/>
      <c r="Y36" s="81"/>
      <c r="Z36" s="81"/>
      <c r="AA36" s="82"/>
      <c r="AB36" s="19"/>
    </row>
    <row r="37" spans="1:28" s="20" customFormat="1" ht="21.9" customHeight="1" x14ac:dyDescent="0.4">
      <c r="A37" s="18">
        <v>36</v>
      </c>
      <c r="B37" s="83">
        <f t="shared" ca="1" si="0"/>
        <v>0</v>
      </c>
      <c r="C37" s="84"/>
      <c r="D37" s="84"/>
      <c r="E37" s="84"/>
      <c r="F37" s="85"/>
      <c r="G37" s="86">
        <f t="shared" ca="1" si="1"/>
        <v>0</v>
      </c>
      <c r="H37" s="87"/>
      <c r="I37" s="87"/>
      <c r="J37" s="87"/>
      <c r="K37" s="88"/>
      <c r="L37" s="86">
        <f t="shared" ca="1" si="2"/>
        <v>0</v>
      </c>
      <c r="M37" s="87"/>
      <c r="N37" s="87"/>
      <c r="O37" s="87"/>
      <c r="P37" s="88"/>
      <c r="Q37" s="77">
        <f t="shared" ca="1" si="3"/>
        <v>0</v>
      </c>
      <c r="R37" s="78"/>
      <c r="S37" s="78"/>
      <c r="T37" s="78"/>
      <c r="U37" s="79"/>
      <c r="V37" s="80">
        <f t="shared" ca="1" si="4"/>
        <v>0</v>
      </c>
      <c r="W37" s="81"/>
      <c r="X37" s="81"/>
      <c r="Y37" s="81"/>
      <c r="Z37" s="81"/>
      <c r="AA37" s="82"/>
      <c r="AB37" s="19"/>
    </row>
    <row r="38" spans="1:28" s="20" customFormat="1" ht="21.9" customHeight="1" x14ac:dyDescent="0.4">
      <c r="A38" s="18">
        <v>37</v>
      </c>
      <c r="B38" s="83">
        <f t="shared" ca="1" si="0"/>
        <v>0</v>
      </c>
      <c r="C38" s="84"/>
      <c r="D38" s="84"/>
      <c r="E38" s="84"/>
      <c r="F38" s="85"/>
      <c r="G38" s="86">
        <f t="shared" ca="1" si="1"/>
        <v>0</v>
      </c>
      <c r="H38" s="87"/>
      <c r="I38" s="87"/>
      <c r="J38" s="87"/>
      <c r="K38" s="88"/>
      <c r="L38" s="86">
        <f t="shared" ca="1" si="2"/>
        <v>0</v>
      </c>
      <c r="M38" s="87"/>
      <c r="N38" s="87"/>
      <c r="O38" s="87"/>
      <c r="P38" s="88"/>
      <c r="Q38" s="77">
        <f t="shared" ca="1" si="3"/>
        <v>0</v>
      </c>
      <c r="R38" s="78"/>
      <c r="S38" s="78"/>
      <c r="T38" s="78"/>
      <c r="U38" s="79"/>
      <c r="V38" s="80">
        <f t="shared" ca="1" si="4"/>
        <v>0</v>
      </c>
      <c r="W38" s="81"/>
      <c r="X38" s="81"/>
      <c r="Y38" s="81"/>
      <c r="Z38" s="81"/>
      <c r="AA38" s="82"/>
      <c r="AB38" s="19"/>
    </row>
    <row r="39" spans="1:28" s="20" customFormat="1" ht="21.9" customHeight="1" x14ac:dyDescent="0.4">
      <c r="A39" s="18">
        <v>38</v>
      </c>
      <c r="B39" s="83">
        <f t="shared" ca="1" si="0"/>
        <v>0</v>
      </c>
      <c r="C39" s="84"/>
      <c r="D39" s="84"/>
      <c r="E39" s="84"/>
      <c r="F39" s="85"/>
      <c r="G39" s="86">
        <f t="shared" ca="1" si="1"/>
        <v>0</v>
      </c>
      <c r="H39" s="87"/>
      <c r="I39" s="87"/>
      <c r="J39" s="87"/>
      <c r="K39" s="88"/>
      <c r="L39" s="86">
        <f t="shared" ca="1" si="2"/>
        <v>0</v>
      </c>
      <c r="M39" s="87"/>
      <c r="N39" s="87"/>
      <c r="O39" s="87"/>
      <c r="P39" s="88"/>
      <c r="Q39" s="77">
        <f t="shared" ca="1" si="3"/>
        <v>0</v>
      </c>
      <c r="R39" s="78"/>
      <c r="S39" s="78"/>
      <c r="T39" s="78"/>
      <c r="U39" s="79"/>
      <c r="V39" s="80">
        <f t="shared" ca="1" si="4"/>
        <v>0</v>
      </c>
      <c r="W39" s="81"/>
      <c r="X39" s="81"/>
      <c r="Y39" s="81"/>
      <c r="Z39" s="81"/>
      <c r="AA39" s="82"/>
      <c r="AB39" s="19"/>
    </row>
    <row r="40" spans="1:28" s="1" customFormat="1" ht="21.9" customHeight="1" x14ac:dyDescent="0.4">
      <c r="A40" s="18">
        <v>39</v>
      </c>
      <c r="B40" s="83">
        <f t="shared" ca="1" si="0"/>
        <v>0</v>
      </c>
      <c r="C40" s="84"/>
      <c r="D40" s="84"/>
      <c r="E40" s="84"/>
      <c r="F40" s="85"/>
      <c r="G40" s="86">
        <f t="shared" ca="1" si="1"/>
        <v>0</v>
      </c>
      <c r="H40" s="87"/>
      <c r="I40" s="87"/>
      <c r="J40" s="87"/>
      <c r="K40" s="88"/>
      <c r="L40" s="86">
        <f t="shared" ca="1" si="2"/>
        <v>0</v>
      </c>
      <c r="M40" s="87"/>
      <c r="N40" s="87"/>
      <c r="O40" s="87"/>
      <c r="P40" s="88"/>
      <c r="Q40" s="77">
        <f t="shared" ca="1" si="3"/>
        <v>0</v>
      </c>
      <c r="R40" s="78"/>
      <c r="S40" s="78"/>
      <c r="T40" s="78"/>
      <c r="U40" s="79"/>
      <c r="V40" s="80">
        <f t="shared" ca="1" si="4"/>
        <v>0</v>
      </c>
      <c r="W40" s="81"/>
      <c r="X40" s="81"/>
      <c r="Y40" s="81"/>
      <c r="Z40" s="81"/>
      <c r="AA40" s="82"/>
      <c r="AB40" s="14"/>
    </row>
    <row r="41" spans="1:28" s="1" customFormat="1" ht="21.9" customHeight="1" x14ac:dyDescent="0.4">
      <c r="A41" s="18">
        <v>40</v>
      </c>
      <c r="B41" s="83">
        <f t="shared" ca="1" si="0"/>
        <v>0</v>
      </c>
      <c r="C41" s="84"/>
      <c r="D41" s="84"/>
      <c r="E41" s="84"/>
      <c r="F41" s="85"/>
      <c r="G41" s="86">
        <f t="shared" ca="1" si="1"/>
        <v>0</v>
      </c>
      <c r="H41" s="87"/>
      <c r="I41" s="87"/>
      <c r="J41" s="87"/>
      <c r="K41" s="88"/>
      <c r="L41" s="86">
        <f t="shared" ca="1" si="2"/>
        <v>0</v>
      </c>
      <c r="M41" s="87"/>
      <c r="N41" s="87"/>
      <c r="O41" s="87"/>
      <c r="P41" s="88"/>
      <c r="Q41" s="77">
        <f t="shared" ca="1" si="3"/>
        <v>0</v>
      </c>
      <c r="R41" s="78"/>
      <c r="S41" s="78"/>
      <c r="T41" s="78"/>
      <c r="U41" s="79"/>
      <c r="V41" s="80">
        <f t="shared" ca="1" si="4"/>
        <v>0</v>
      </c>
      <c r="W41" s="81"/>
      <c r="X41" s="81"/>
      <c r="Y41" s="81"/>
      <c r="Z41" s="81"/>
      <c r="AA41" s="82"/>
      <c r="AB41" s="14"/>
    </row>
    <row r="42" spans="1:28" s="20" customFormat="1" ht="21.9" customHeight="1" x14ac:dyDescent="0.4">
      <c r="A42" s="18">
        <v>41</v>
      </c>
      <c r="B42" s="83">
        <f t="shared" ca="1" si="0"/>
        <v>0</v>
      </c>
      <c r="C42" s="84"/>
      <c r="D42" s="84"/>
      <c r="E42" s="84"/>
      <c r="F42" s="85"/>
      <c r="G42" s="86">
        <f t="shared" ca="1" si="1"/>
        <v>0</v>
      </c>
      <c r="H42" s="87"/>
      <c r="I42" s="87"/>
      <c r="J42" s="87"/>
      <c r="K42" s="88"/>
      <c r="L42" s="86">
        <f t="shared" ca="1" si="2"/>
        <v>0</v>
      </c>
      <c r="M42" s="87"/>
      <c r="N42" s="87"/>
      <c r="O42" s="87"/>
      <c r="P42" s="88"/>
      <c r="Q42" s="77">
        <f t="shared" ca="1" si="3"/>
        <v>0</v>
      </c>
      <c r="R42" s="78"/>
      <c r="S42" s="78"/>
      <c r="T42" s="78"/>
      <c r="U42" s="79"/>
      <c r="V42" s="80">
        <f t="shared" ca="1" si="4"/>
        <v>0</v>
      </c>
      <c r="W42" s="81"/>
      <c r="X42" s="81"/>
      <c r="Y42" s="81"/>
      <c r="Z42" s="81"/>
      <c r="AA42" s="82"/>
      <c r="AB42" s="19"/>
    </row>
    <row r="43" spans="1:28" s="20" customFormat="1" ht="21.9" customHeight="1" x14ac:dyDescent="0.4">
      <c r="A43" s="18">
        <v>42</v>
      </c>
      <c r="B43" s="83">
        <f t="shared" ca="1" si="0"/>
        <v>0</v>
      </c>
      <c r="C43" s="84"/>
      <c r="D43" s="84"/>
      <c r="E43" s="84"/>
      <c r="F43" s="85"/>
      <c r="G43" s="86">
        <f t="shared" ca="1" si="1"/>
        <v>0</v>
      </c>
      <c r="H43" s="87"/>
      <c r="I43" s="87"/>
      <c r="J43" s="87"/>
      <c r="K43" s="88"/>
      <c r="L43" s="86">
        <f t="shared" ca="1" si="2"/>
        <v>0</v>
      </c>
      <c r="M43" s="87"/>
      <c r="N43" s="87"/>
      <c r="O43" s="87"/>
      <c r="P43" s="88"/>
      <c r="Q43" s="77">
        <f t="shared" ca="1" si="3"/>
        <v>0</v>
      </c>
      <c r="R43" s="78"/>
      <c r="S43" s="78"/>
      <c r="T43" s="78"/>
      <c r="U43" s="79"/>
      <c r="V43" s="80">
        <f t="shared" ca="1" si="4"/>
        <v>0</v>
      </c>
      <c r="W43" s="81"/>
      <c r="X43" s="81"/>
      <c r="Y43" s="81"/>
      <c r="Z43" s="81"/>
      <c r="AA43" s="82"/>
      <c r="AB43" s="19"/>
    </row>
    <row r="44" spans="1:28" s="1" customFormat="1" ht="21.9" customHeight="1" x14ac:dyDescent="0.4">
      <c r="A44" s="18">
        <v>43</v>
      </c>
      <c r="B44" s="83">
        <f t="shared" ca="1" si="0"/>
        <v>0</v>
      </c>
      <c r="C44" s="84"/>
      <c r="D44" s="84"/>
      <c r="E44" s="84"/>
      <c r="F44" s="85"/>
      <c r="G44" s="86">
        <f t="shared" ca="1" si="1"/>
        <v>0</v>
      </c>
      <c r="H44" s="87"/>
      <c r="I44" s="87"/>
      <c r="J44" s="87"/>
      <c r="K44" s="88"/>
      <c r="L44" s="86">
        <f t="shared" ca="1" si="2"/>
        <v>0</v>
      </c>
      <c r="M44" s="87"/>
      <c r="N44" s="87"/>
      <c r="O44" s="87"/>
      <c r="P44" s="88"/>
      <c r="Q44" s="77">
        <f t="shared" ca="1" si="3"/>
        <v>0</v>
      </c>
      <c r="R44" s="78"/>
      <c r="S44" s="78"/>
      <c r="T44" s="78"/>
      <c r="U44" s="79"/>
      <c r="V44" s="80">
        <f t="shared" ca="1" si="4"/>
        <v>0</v>
      </c>
      <c r="W44" s="81"/>
      <c r="X44" s="81"/>
      <c r="Y44" s="81"/>
      <c r="Z44" s="81"/>
      <c r="AA44" s="82"/>
      <c r="AB44" s="14"/>
    </row>
    <row r="45" spans="1:28" s="1" customFormat="1" ht="21.9" customHeight="1" x14ac:dyDescent="0.4">
      <c r="A45" s="18">
        <v>44</v>
      </c>
      <c r="B45" s="83">
        <f t="shared" ca="1" si="0"/>
        <v>0</v>
      </c>
      <c r="C45" s="84"/>
      <c r="D45" s="84"/>
      <c r="E45" s="84"/>
      <c r="F45" s="85"/>
      <c r="G45" s="86">
        <f t="shared" ca="1" si="1"/>
        <v>0</v>
      </c>
      <c r="H45" s="87"/>
      <c r="I45" s="87"/>
      <c r="J45" s="87"/>
      <c r="K45" s="88"/>
      <c r="L45" s="86">
        <f t="shared" ca="1" si="2"/>
        <v>0</v>
      </c>
      <c r="M45" s="87"/>
      <c r="N45" s="87"/>
      <c r="O45" s="87"/>
      <c r="P45" s="88"/>
      <c r="Q45" s="77">
        <f t="shared" ca="1" si="3"/>
        <v>0</v>
      </c>
      <c r="R45" s="78"/>
      <c r="S45" s="78"/>
      <c r="T45" s="78"/>
      <c r="U45" s="79"/>
      <c r="V45" s="80">
        <f t="shared" ca="1" si="4"/>
        <v>0</v>
      </c>
      <c r="W45" s="81"/>
      <c r="X45" s="81"/>
      <c r="Y45" s="81"/>
      <c r="Z45" s="81"/>
      <c r="AA45" s="82"/>
      <c r="AB45" s="14"/>
    </row>
    <row r="46" spans="1:28" s="20" customFormat="1" ht="21.9" customHeight="1" x14ac:dyDescent="0.4">
      <c r="A46" s="18">
        <v>45</v>
      </c>
      <c r="B46" s="83">
        <f t="shared" ca="1" si="0"/>
        <v>0</v>
      </c>
      <c r="C46" s="84"/>
      <c r="D46" s="84"/>
      <c r="E46" s="84"/>
      <c r="F46" s="85"/>
      <c r="G46" s="86">
        <f t="shared" ca="1" si="1"/>
        <v>0</v>
      </c>
      <c r="H46" s="87"/>
      <c r="I46" s="87"/>
      <c r="J46" s="87"/>
      <c r="K46" s="88"/>
      <c r="L46" s="86">
        <f t="shared" ca="1" si="2"/>
        <v>0</v>
      </c>
      <c r="M46" s="87"/>
      <c r="N46" s="87"/>
      <c r="O46" s="87"/>
      <c r="P46" s="88"/>
      <c r="Q46" s="77">
        <f t="shared" ca="1" si="3"/>
        <v>0</v>
      </c>
      <c r="R46" s="78"/>
      <c r="S46" s="78"/>
      <c r="T46" s="78"/>
      <c r="U46" s="79"/>
      <c r="V46" s="80">
        <f t="shared" ca="1" si="4"/>
        <v>0</v>
      </c>
      <c r="W46" s="81"/>
      <c r="X46" s="81"/>
      <c r="Y46" s="81"/>
      <c r="Z46" s="81"/>
      <c r="AA46" s="82"/>
      <c r="AB46" s="19"/>
    </row>
    <row r="47" spans="1:28" s="20" customFormat="1" ht="21.9" customHeight="1" x14ac:dyDescent="0.4">
      <c r="A47" s="18">
        <v>46</v>
      </c>
      <c r="B47" s="83">
        <f t="shared" ca="1" si="0"/>
        <v>0</v>
      </c>
      <c r="C47" s="84"/>
      <c r="D47" s="84"/>
      <c r="E47" s="84"/>
      <c r="F47" s="85"/>
      <c r="G47" s="86">
        <f t="shared" ca="1" si="1"/>
        <v>0</v>
      </c>
      <c r="H47" s="87"/>
      <c r="I47" s="87"/>
      <c r="J47" s="87"/>
      <c r="K47" s="88"/>
      <c r="L47" s="86">
        <f t="shared" ca="1" si="2"/>
        <v>0</v>
      </c>
      <c r="M47" s="87"/>
      <c r="N47" s="87"/>
      <c r="O47" s="87"/>
      <c r="P47" s="88"/>
      <c r="Q47" s="77">
        <f t="shared" ca="1" si="3"/>
        <v>0</v>
      </c>
      <c r="R47" s="78"/>
      <c r="S47" s="78"/>
      <c r="T47" s="78"/>
      <c r="U47" s="79"/>
      <c r="V47" s="80">
        <f t="shared" ca="1" si="4"/>
        <v>0</v>
      </c>
      <c r="W47" s="81"/>
      <c r="X47" s="81"/>
      <c r="Y47" s="81"/>
      <c r="Z47" s="81"/>
      <c r="AA47" s="82"/>
      <c r="AB47" s="19"/>
    </row>
    <row r="48" spans="1:28" s="20" customFormat="1" ht="21.9" customHeight="1" x14ac:dyDescent="0.4">
      <c r="A48" s="18">
        <v>47</v>
      </c>
      <c r="B48" s="83">
        <f t="shared" ca="1" si="0"/>
        <v>0</v>
      </c>
      <c r="C48" s="84"/>
      <c r="D48" s="84"/>
      <c r="E48" s="84"/>
      <c r="F48" s="85"/>
      <c r="G48" s="86">
        <f t="shared" ca="1" si="1"/>
        <v>0</v>
      </c>
      <c r="H48" s="87"/>
      <c r="I48" s="87"/>
      <c r="J48" s="87"/>
      <c r="K48" s="88"/>
      <c r="L48" s="86">
        <f t="shared" ca="1" si="2"/>
        <v>0</v>
      </c>
      <c r="M48" s="87"/>
      <c r="N48" s="87"/>
      <c r="O48" s="87"/>
      <c r="P48" s="88"/>
      <c r="Q48" s="77">
        <f t="shared" ca="1" si="3"/>
        <v>0</v>
      </c>
      <c r="R48" s="78"/>
      <c r="S48" s="78"/>
      <c r="T48" s="78"/>
      <c r="U48" s="79"/>
      <c r="V48" s="80">
        <f t="shared" ca="1" si="4"/>
        <v>0</v>
      </c>
      <c r="W48" s="81"/>
      <c r="X48" s="81"/>
      <c r="Y48" s="81"/>
      <c r="Z48" s="81"/>
      <c r="AA48" s="82"/>
      <c r="AB48" s="19"/>
    </row>
    <row r="49" spans="1:28" s="20" customFormat="1" ht="21.9" customHeight="1" x14ac:dyDescent="0.4">
      <c r="A49" s="18">
        <v>48</v>
      </c>
      <c r="B49" s="83">
        <f t="shared" ca="1" si="0"/>
        <v>0</v>
      </c>
      <c r="C49" s="84"/>
      <c r="D49" s="84"/>
      <c r="E49" s="84"/>
      <c r="F49" s="85"/>
      <c r="G49" s="86">
        <f t="shared" ca="1" si="1"/>
        <v>0</v>
      </c>
      <c r="H49" s="87"/>
      <c r="I49" s="87"/>
      <c r="J49" s="87"/>
      <c r="K49" s="88"/>
      <c r="L49" s="86">
        <f t="shared" ca="1" si="2"/>
        <v>0</v>
      </c>
      <c r="M49" s="87"/>
      <c r="N49" s="87"/>
      <c r="O49" s="87"/>
      <c r="P49" s="88"/>
      <c r="Q49" s="77">
        <f t="shared" ca="1" si="3"/>
        <v>0</v>
      </c>
      <c r="R49" s="78"/>
      <c r="S49" s="78"/>
      <c r="T49" s="78"/>
      <c r="U49" s="79"/>
      <c r="V49" s="80">
        <f t="shared" ca="1" si="4"/>
        <v>0</v>
      </c>
      <c r="W49" s="81"/>
      <c r="X49" s="81"/>
      <c r="Y49" s="81"/>
      <c r="Z49" s="81"/>
      <c r="AA49" s="82"/>
      <c r="AB49" s="19"/>
    </row>
    <row r="50" spans="1:28" s="1" customFormat="1" ht="24.9" customHeight="1" x14ac:dyDescent="0.4">
      <c r="A50" s="13"/>
      <c r="B50" s="122" t="s">
        <v>16</v>
      </c>
      <c r="C50" s="123"/>
      <c r="D50" s="123"/>
      <c r="E50" s="123"/>
      <c r="F50" s="123"/>
      <c r="G50" s="123"/>
      <c r="H50" s="123"/>
      <c r="I50" s="123"/>
      <c r="J50" s="123"/>
      <c r="K50" s="123"/>
      <c r="L50" s="124"/>
      <c r="M50" s="124"/>
      <c r="N50" s="124"/>
      <c r="O50" s="124"/>
      <c r="P50" s="125"/>
      <c r="Q50" s="136">
        <f ca="1">SUM(Q15:U49)</f>
        <v>0</v>
      </c>
      <c r="R50" s="136"/>
      <c r="S50" s="136"/>
      <c r="T50" s="136"/>
      <c r="U50" s="136"/>
      <c r="V50" s="137"/>
      <c r="W50" s="138"/>
      <c r="X50" s="138"/>
      <c r="Y50" s="138"/>
      <c r="Z50" s="138"/>
      <c r="AA50" s="139"/>
      <c r="AB50" s="14"/>
    </row>
    <row r="51" spans="1:28" s="1" customFormat="1" ht="16.5" customHeight="1" x14ac:dyDescent="0.4">
      <c r="A51" s="21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3"/>
    </row>
    <row r="52" spans="1:28" s="1" customFormat="1" x14ac:dyDescent="0.4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W52" s="11"/>
      <c r="X52" s="11"/>
      <c r="Y52" s="11"/>
      <c r="Z52" s="11"/>
      <c r="AA52" s="11"/>
      <c r="AB52" s="11"/>
    </row>
    <row r="53" spans="1:28" s="1" customFormat="1" x14ac:dyDescent="0.4">
      <c r="X53" s="118"/>
      <c r="Y53" s="118"/>
      <c r="Z53" s="118"/>
      <c r="AA53" s="118"/>
      <c r="AB53" s="118"/>
    </row>
  </sheetData>
  <protectedRanges>
    <protectedRange sqref="S6:AB6" name="범위5"/>
    <protectedRange sqref="T14:AA14 B15:U49" name="범위1"/>
    <protectedRange sqref="D8:J8 L6:O8" name="범위4"/>
    <protectedRange sqref="S8:AB8" name="범위5_1"/>
    <protectedRange sqref="S7:AB7" name="범위5_2"/>
    <protectedRange sqref="D6:J7" name="범위4_1"/>
  </protectedRanges>
  <mergeCells count="215">
    <mergeCell ref="Q29:U29"/>
    <mergeCell ref="B40:F40"/>
    <mergeCell ref="G40:K40"/>
    <mergeCell ref="L40:P40"/>
    <mergeCell ref="Q40:U40"/>
    <mergeCell ref="B41:F41"/>
    <mergeCell ref="G41:K41"/>
    <mergeCell ref="L41:P41"/>
    <mergeCell ref="Q41:U41"/>
    <mergeCell ref="B30:F30"/>
    <mergeCell ref="G30:K30"/>
    <mergeCell ref="L30:P30"/>
    <mergeCell ref="Q30:U30"/>
    <mergeCell ref="B33:F33"/>
    <mergeCell ref="G33:K33"/>
    <mergeCell ref="L33:P33"/>
    <mergeCell ref="Q33:U33"/>
    <mergeCell ref="B36:F36"/>
    <mergeCell ref="G36:K36"/>
    <mergeCell ref="L36:P36"/>
    <mergeCell ref="Q36:U36"/>
    <mergeCell ref="B39:F39"/>
    <mergeCell ref="G39:K39"/>
    <mergeCell ref="L39:P39"/>
    <mergeCell ref="B25:F25"/>
    <mergeCell ref="G25:K25"/>
    <mergeCell ref="L25:P25"/>
    <mergeCell ref="Q25:U25"/>
    <mergeCell ref="V25:AA25"/>
    <mergeCell ref="V26:AA26"/>
    <mergeCell ref="V27:AA27"/>
    <mergeCell ref="V28:AA28"/>
    <mergeCell ref="V29:AA29"/>
    <mergeCell ref="B26:F26"/>
    <mergeCell ref="G26:K26"/>
    <mergeCell ref="L26:P26"/>
    <mergeCell ref="Q26:U26"/>
    <mergeCell ref="B27:F27"/>
    <mergeCell ref="G27:K27"/>
    <mergeCell ref="L27:P27"/>
    <mergeCell ref="Q27:U27"/>
    <mergeCell ref="B28:F28"/>
    <mergeCell ref="G28:K28"/>
    <mergeCell ref="L28:P28"/>
    <mergeCell ref="Q28:U28"/>
    <mergeCell ref="B29:F29"/>
    <mergeCell ref="G29:K29"/>
    <mergeCell ref="L29:P29"/>
    <mergeCell ref="V40:AA40"/>
    <mergeCell ref="V41:AA41"/>
    <mergeCell ref="V47:AA47"/>
    <mergeCell ref="V48:AA48"/>
    <mergeCell ref="B46:F46"/>
    <mergeCell ref="G46:K46"/>
    <mergeCell ref="Q46:U46"/>
    <mergeCell ref="V46:AA46"/>
    <mergeCell ref="Q50:U50"/>
    <mergeCell ref="V50:AA50"/>
    <mergeCell ref="L47:P47"/>
    <mergeCell ref="Q47:U47"/>
    <mergeCell ref="B48:F48"/>
    <mergeCell ref="G48:K48"/>
    <mergeCell ref="L48:P48"/>
    <mergeCell ref="Q48:U48"/>
    <mergeCell ref="B49:F49"/>
    <mergeCell ref="G49:K49"/>
    <mergeCell ref="L49:P49"/>
    <mergeCell ref="Q49:U49"/>
    <mergeCell ref="V44:AA44"/>
    <mergeCell ref="B45:F45"/>
    <mergeCell ref="G45:K45"/>
    <mergeCell ref="Q45:U45"/>
    <mergeCell ref="X53:AB53"/>
    <mergeCell ref="M3:N3"/>
    <mergeCell ref="M4:N4"/>
    <mergeCell ref="L14:P14"/>
    <mergeCell ref="L15:P15"/>
    <mergeCell ref="L16:P16"/>
    <mergeCell ref="L17:P17"/>
    <mergeCell ref="B50:P50"/>
    <mergeCell ref="B4:C4"/>
    <mergeCell ref="D4:E4"/>
    <mergeCell ref="F4:G4"/>
    <mergeCell ref="H4:I4"/>
    <mergeCell ref="A6:C6"/>
    <mergeCell ref="D6:J6"/>
    <mergeCell ref="K6:R6"/>
    <mergeCell ref="S6:AB6"/>
    <mergeCell ref="A7:A8"/>
    <mergeCell ref="B7:C7"/>
    <mergeCell ref="D7:J7"/>
    <mergeCell ref="K7:R7"/>
    <mergeCell ref="L46:P46"/>
    <mergeCell ref="V49:AA49"/>
    <mergeCell ref="B47:F47"/>
    <mergeCell ref="G47:K47"/>
    <mergeCell ref="V45:AA45"/>
    <mergeCell ref="L44:P44"/>
    <mergeCell ref="L45:P45"/>
    <mergeCell ref="B42:F42"/>
    <mergeCell ref="G42:K42"/>
    <mergeCell ref="Q42:U42"/>
    <mergeCell ref="V42:AA42"/>
    <mergeCell ref="B43:F43"/>
    <mergeCell ref="G43:K43"/>
    <mergeCell ref="Q43:U43"/>
    <mergeCell ref="V43:AA43"/>
    <mergeCell ref="L42:P42"/>
    <mergeCell ref="L43:P43"/>
    <mergeCell ref="B44:F44"/>
    <mergeCell ref="G44:K44"/>
    <mergeCell ref="Q44:U44"/>
    <mergeCell ref="B23:F23"/>
    <mergeCell ref="G23:K23"/>
    <mergeCell ref="Q23:U23"/>
    <mergeCell ref="V23:AA23"/>
    <mergeCell ref="B24:F24"/>
    <mergeCell ref="G24:K24"/>
    <mergeCell ref="Q24:U24"/>
    <mergeCell ref="V24:AA24"/>
    <mergeCell ref="L23:P23"/>
    <mergeCell ref="L24:P24"/>
    <mergeCell ref="B21:F21"/>
    <mergeCell ref="G21:K21"/>
    <mergeCell ref="Q21:U21"/>
    <mergeCell ref="V21:AA21"/>
    <mergeCell ref="B22:F22"/>
    <mergeCell ref="G22:K22"/>
    <mergeCell ref="Q22:U22"/>
    <mergeCell ref="V22:AA22"/>
    <mergeCell ref="L21:P21"/>
    <mergeCell ref="L22:P22"/>
    <mergeCell ref="B19:F19"/>
    <mergeCell ref="G19:K19"/>
    <mergeCell ref="Q19:U19"/>
    <mergeCell ref="V19:AA19"/>
    <mergeCell ref="B20:F20"/>
    <mergeCell ref="G20:K20"/>
    <mergeCell ref="Q20:U20"/>
    <mergeCell ref="V20:AA20"/>
    <mergeCell ref="L19:P19"/>
    <mergeCell ref="L20:P20"/>
    <mergeCell ref="B17:F17"/>
    <mergeCell ref="G17:K17"/>
    <mergeCell ref="Q17:U17"/>
    <mergeCell ref="V17:AA17"/>
    <mergeCell ref="B18:F18"/>
    <mergeCell ref="G18:K18"/>
    <mergeCell ref="Q18:U18"/>
    <mergeCell ref="V18:AA18"/>
    <mergeCell ref="L18:P18"/>
    <mergeCell ref="B8:C8"/>
    <mergeCell ref="D8:J8"/>
    <mergeCell ref="K8:R8"/>
    <mergeCell ref="B15:F15"/>
    <mergeCell ref="G15:K15"/>
    <mergeCell ref="Q15:U15"/>
    <mergeCell ref="V15:AA15"/>
    <mergeCell ref="B16:F16"/>
    <mergeCell ref="G16:K16"/>
    <mergeCell ref="Q16:U16"/>
    <mergeCell ref="V16:AA16"/>
    <mergeCell ref="S8:AB8"/>
    <mergeCell ref="T10:AA10"/>
    <mergeCell ref="B14:F14"/>
    <mergeCell ref="G14:K14"/>
    <mergeCell ref="Q14:U14"/>
    <mergeCell ref="V14:AA14"/>
    <mergeCell ref="C10:P10"/>
    <mergeCell ref="S7:AB7"/>
    <mergeCell ref="A1:AB1"/>
    <mergeCell ref="A3:A4"/>
    <mergeCell ref="B3:C3"/>
    <mergeCell ref="D3:E3"/>
    <mergeCell ref="F3:G3"/>
    <mergeCell ref="H3:I3"/>
    <mergeCell ref="R3:R4"/>
    <mergeCell ref="X3:X4"/>
    <mergeCell ref="Y3:Z3"/>
    <mergeCell ref="AA3:AB3"/>
    <mergeCell ref="V30:AA30"/>
    <mergeCell ref="B31:F31"/>
    <mergeCell ref="G31:K31"/>
    <mergeCell ref="L31:P31"/>
    <mergeCell ref="Q31:U31"/>
    <mergeCell ref="V31:AA31"/>
    <mergeCell ref="B32:F32"/>
    <mergeCell ref="G32:K32"/>
    <mergeCell ref="L32:P32"/>
    <mergeCell ref="Q32:U32"/>
    <mergeCell ref="V32:AA32"/>
    <mergeCell ref="V33:AA33"/>
    <mergeCell ref="B34:F34"/>
    <mergeCell ref="G34:K34"/>
    <mergeCell ref="L34:P34"/>
    <mergeCell ref="Q34:U34"/>
    <mergeCell ref="V34:AA34"/>
    <mergeCell ref="B35:F35"/>
    <mergeCell ref="G35:K35"/>
    <mergeCell ref="L35:P35"/>
    <mergeCell ref="Q35:U35"/>
    <mergeCell ref="V35:AA35"/>
    <mergeCell ref="Q39:U39"/>
    <mergeCell ref="V39:AA39"/>
    <mergeCell ref="V36:AA36"/>
    <mergeCell ref="B37:F37"/>
    <mergeCell ref="G37:K37"/>
    <mergeCell ref="L37:P37"/>
    <mergeCell ref="Q37:U37"/>
    <mergeCell ref="V37:AA37"/>
    <mergeCell ref="B38:F38"/>
    <mergeCell ref="G38:K38"/>
    <mergeCell ref="L38:P38"/>
    <mergeCell ref="Q38:U38"/>
    <mergeCell ref="V38:AA38"/>
  </mergeCells>
  <phoneticPr fontId="7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defaultRowHeight="21" customHeight="1" x14ac:dyDescent="0.4"/>
  <cols>
    <col min="1" max="1" width="14.796875" style="33" customWidth="1"/>
    <col min="2" max="2" width="14.796875" style="57" customWidth="1"/>
    <col min="3" max="16384" width="8.796875" style="33"/>
  </cols>
  <sheetData>
    <row r="1" spans="1:8" ht="30" customHeight="1" x14ac:dyDescent="0.4">
      <c r="A1" s="56" t="s">
        <v>41</v>
      </c>
    </row>
    <row r="2" spans="1:8" ht="12.6" customHeight="1" x14ac:dyDescent="0.4">
      <c r="A2" s="56"/>
    </row>
    <row r="3" spans="1:8" ht="90" customHeight="1" x14ac:dyDescent="0.4">
      <c r="A3" s="140" t="s">
        <v>46</v>
      </c>
      <c r="B3" s="140"/>
      <c r="C3" s="140"/>
      <c r="D3" s="140"/>
      <c r="E3" s="140"/>
      <c r="F3" s="140"/>
      <c r="G3" s="140"/>
      <c r="H3" s="58"/>
    </row>
    <row r="4" spans="1:8" ht="12.6" customHeight="1" x14ac:dyDescent="0.4">
      <c r="A4" s="59"/>
    </row>
    <row r="5" spans="1:8" ht="21" customHeight="1" thickBot="1" x14ac:dyDescent="0.45">
      <c r="A5" s="60" t="s">
        <v>45</v>
      </c>
      <c r="B5" s="61"/>
    </row>
    <row r="6" spans="1:8" ht="21" customHeight="1" x14ac:dyDescent="0.4">
      <c r="A6" s="63" t="s">
        <v>42</v>
      </c>
      <c r="B6" s="64" t="s">
        <v>43</v>
      </c>
      <c r="C6" s="42"/>
    </row>
    <row r="7" spans="1:8" ht="21" customHeight="1" thickBot="1" x14ac:dyDescent="0.45">
      <c r="A7" s="65" t="s">
        <v>44</v>
      </c>
      <c r="B7" s="66" t="s">
        <v>40</v>
      </c>
      <c r="C7" s="42"/>
    </row>
    <row r="8" spans="1:8" ht="21" customHeight="1" x14ac:dyDescent="0.4">
      <c r="A8" s="54"/>
      <c r="B8" s="62"/>
    </row>
  </sheetData>
  <mergeCells count="1">
    <mergeCell ref="A3:G3"/>
  </mergeCells>
  <phoneticPr fontId="7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3ade0d5-63bf-496e-bfb3-5f22a4e9b5b5}" enabled="1" method="Privileged" siteId="{c04381bb-a1f7-490e-88d0-ab287e49ee3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지출내역(홍길동)</vt:lpstr>
      <vt:lpstr>지출보고서(홍길동)</vt:lpstr>
      <vt:lpstr>PJT_Code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정병은</dc:creator>
  <cp:lastModifiedBy>윤대웅(KCC글라스-컨설턴트)</cp:lastModifiedBy>
  <cp:lastPrinted>2017-02-03T04:56:13Z</cp:lastPrinted>
  <dcterms:created xsi:type="dcterms:W3CDTF">2008-08-14T06:58:12Z</dcterms:created>
  <dcterms:modified xsi:type="dcterms:W3CDTF">2025-12-30T04:46:56Z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raceInfo">
    <vt:lpwstr>/////+D///8=o+031vNHFZkm/OV07EV4Sbk8nDzItKfYookjqp4rhFATv/lpjz0ketrDQrrsMj42SD55FEA/Y1oCHmB4cqbC3SccE13RgRQP/D7j/Y6HPXm/1Oml4b3WCW4VmWi6ExNfn/u1tmxjBsAmJOlrIXso8VLOJdgts21qRuXLOsQ=</vt:lpwstr>
  </property>
  <property fmtid="{D5CDD505-2E9C-101B-9397-08002B2CF9AE}" pid="3" name="Fasoo_Trace_ID">
    <vt:lpwstr>eyJub2RlMSI6eyJkc2QiOiJGU0RTQVdTMTAwMDAxMjY5IiwibG9nVGltZSI6IjIwMjUtMTEtMjVUMDg6MzY6MjdaIiwicElEIjoxLCJwcm9jZXNzSWQiOjg2NzIsInByb2Nlc3NOYW1lIjoiRVhDRUwuRVhFIiwidHJhY2VJZCI6IjQwNkE0MjExN0Y3MzQ4QzlBMDYyOEVBQkVGNjU2ODAwIiwidXNlckNvZGUiOiJ5b29uaWViZWFyIn0sIm5vZGUyIjp7ImRzZCI6IkZTRFNBV1MxMDAwMDEyNjkiLCJsb2dUaW1lIjoiMjAyNS0xMS0yNVQwODozNjoyN1oiLCJwSUQiOjEsInByb2Nlc3NJZCI6ODY3MiwicHJvY2Vzc05hbWUiOiJFWENFTC5FWEUiLCJ0cmFjZUlkIjoiNDA2QTQyMTE3RjczNDhDOUEwNjI4RUFCRUY2NTY4MDAiLCJ1c2VyQ29kZSI6Inlvb25pZWJlYXIifSwibm9kZTMiOnsiZHNkIjoiMDAwMDAwMDAwMDAwMDAwMCIsImxvZ1RpbWUiOiIyMDI1LTExLTI1VDA4OjQ5OjIwWiIsInBJRCI6MjA0OCwicHJvY2Vzc0lkIjo4NjcyLCJwcm9jZXNzTmFtZSI6IlBhY2thZ2VyIiwidHJhY2VJZCI6IjQ4N0FGNDAyQjI3NTEwRjAwODFDMjRFQTY0QzVCMUYxIiwidXNlckNvZGUiOiIifSwibm9kZTQiOnsiZHNkIjoiRlNEU0FXUzEwMDAwMTI2OSIsImxvZ1RpbWUiOiIyMDI1LTEyLTI2VDA3OjQ2OjE1WiIsInBJRCI6MSwicHJvY2Vzc0lkIjo5MzUyLCJwcm9jZXNzTmFtZSI6IkVYQ0VMLkVYRSIsInRyYWNlSWQiOiI0ODM4RDg5NTc4OTM0ODUyOTk4OUMxNUFEQzk1MjA1MSIsInVzZXJDb2RlIjoieW9vbmllYmVhciJ9LCJub2RlNSI6eyJkc2QiOiIwMDAwMDAwMDAwMDAwMDAwIiwibG9nVGltZSI6IjIwMjUtMTItMjZUMDc6NDc6MDFaIiwicElEIiA6IDIwNDgsInByb2Nlc3NJZCI6NywicHJvY2Vzc05hbWUiOiJQYWNrYWdlciIsInRyYWNlSWQiOiI0MDA2RTk3MzQ5RUVGMzlFMjExQkNEN0EzMzQ4OERCRiIsInVzZXJDb2RlIjoiIn0sIm5vZGVDb3VudCI6NCwicm9vdFRyYWNlSWQiOiI0MDZBNDIxMTdGNzM0OEM5QTA2MjhFQUJFRjY1NjgwMCJ9</vt:lpwstr>
  </property>
</Properties>
</file>